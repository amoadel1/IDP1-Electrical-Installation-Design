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mapedumy-my.sharepoint.com/personal/s231090057-1_studentmail_unimap_edu_my/Documents/Desktop/UniMAP/Semester/IDP 1/Progress 4/ME/"/>
    </mc:Choice>
  </mc:AlternateContent>
  <xr:revisionPtr revIDLastSave="40" documentId="14_{F8635D2B-F3EB-4969-80C7-DF6AF448C255}" xr6:coauthVersionLast="47" xr6:coauthVersionMax="47" xr10:uidLastSave="{F0BFF4B4-AA9E-4F93-A2D8-E7729B06A905}"/>
  <bookViews>
    <workbookView xWindow="-120" yWindow="-120" windowWidth="29040" windowHeight="15720" activeTab="4" xr2:uid="{A05A1EBC-B1BE-48A5-9011-38E3D02D8457}"/>
  </bookViews>
  <sheets>
    <sheet name="GREEN - GROUND" sheetId="1" r:id="rId1"/>
    <sheet name="GREEN - LEVEL 1" sheetId="2" r:id="rId2"/>
    <sheet name="GREEN - LEVEL 2 &amp; ROOF" sheetId="3" r:id="rId3"/>
    <sheet name="HEBA - LEVEL 1 &amp; TNB TO MSB" sheetId="4" r:id="rId4"/>
    <sheet name="HEBA - LEVEL 2 &amp; ROOF" sheetId="5" r:id="rId5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5" l="1"/>
  <c r="K21" i="5"/>
  <c r="H17" i="5"/>
  <c r="K17" i="5"/>
  <c r="H14" i="5"/>
  <c r="K14" i="5"/>
  <c r="H11" i="5"/>
  <c r="K11" i="5"/>
  <c r="H7" i="5"/>
  <c r="K7" i="5"/>
  <c r="H6" i="5"/>
  <c r="K6" i="5"/>
  <c r="H5" i="5"/>
  <c r="K5" i="5"/>
  <c r="H26" i="4"/>
  <c r="K26" i="4"/>
  <c r="H21" i="4"/>
  <c r="K21" i="4"/>
  <c r="H17" i="4"/>
  <c r="K17" i="4"/>
  <c r="H14" i="4"/>
  <c r="K14" i="4"/>
  <c r="H11" i="4"/>
  <c r="K11" i="4"/>
  <c r="H7" i="4"/>
  <c r="K7" i="4"/>
  <c r="H6" i="4"/>
  <c r="K6" i="4"/>
  <c r="H5" i="4"/>
  <c r="K5" i="4"/>
  <c r="H21" i="3"/>
  <c r="K21" i="3"/>
  <c r="H17" i="3"/>
  <c r="K17" i="3"/>
  <c r="H14" i="3"/>
  <c r="K14" i="3"/>
  <c r="H11" i="3"/>
  <c r="K11" i="3"/>
  <c r="H7" i="3"/>
  <c r="K7" i="3"/>
  <c r="H6" i="3"/>
  <c r="K6" i="3"/>
  <c r="H5" i="3"/>
  <c r="K5" i="3"/>
  <c r="H21" i="2"/>
  <c r="K21" i="2"/>
  <c r="H17" i="2"/>
  <c r="K17" i="2"/>
  <c r="H14" i="2"/>
  <c r="K14" i="2"/>
  <c r="K11" i="2"/>
  <c r="K7" i="2"/>
  <c r="K6" i="2"/>
  <c r="K5" i="2"/>
  <c r="H21" i="1"/>
  <c r="K21" i="1"/>
  <c r="H17" i="1"/>
  <c r="K17" i="1"/>
  <c r="H14" i="1"/>
  <c r="K14" i="1"/>
  <c r="H11" i="1"/>
  <c r="K11" i="1"/>
  <c r="H5" i="1"/>
  <c r="K5" i="1"/>
  <c r="H6" i="1"/>
  <c r="K6" i="1"/>
  <c r="H7" i="1"/>
  <c r="K7" i="1"/>
</calcChain>
</file>

<file path=xl/sharedStrings.xml><?xml version="1.0" encoding="utf-8"?>
<sst xmlns="http://schemas.openxmlformats.org/spreadsheetml/2006/main" count="316" uniqueCount="34">
  <si>
    <t>In</t>
  </si>
  <si>
    <t>Ib</t>
  </si>
  <si>
    <t>less 1.5%</t>
  </si>
  <si>
    <t>Distance from DB (L&amp;F)</t>
  </si>
  <si>
    <t>less 1%</t>
  </si>
  <si>
    <t>Distance from DB (AC)</t>
  </si>
  <si>
    <t>Distance from DB (P)</t>
  </si>
  <si>
    <t>MSB to SSB1</t>
  </si>
  <si>
    <t>Table (4D1B)</t>
  </si>
  <si>
    <t>Iz</t>
  </si>
  <si>
    <t>Farest Load Distance</t>
  </si>
  <si>
    <t>DB Type</t>
  </si>
  <si>
    <t>DB Lighting</t>
  </si>
  <si>
    <t>DB AC</t>
  </si>
  <si>
    <t>DB POWER</t>
  </si>
  <si>
    <t>Cable Size</t>
  </si>
  <si>
    <t>Vd</t>
  </si>
  <si>
    <t>Vd% 1ph</t>
  </si>
  <si>
    <t>JKR</t>
  </si>
  <si>
    <t>Ib&lt;= In &lt;= Iz</t>
  </si>
  <si>
    <t>Vd% 3ph</t>
  </si>
  <si>
    <t>Less 1.5%</t>
  </si>
  <si>
    <t>Less 1%</t>
  </si>
  <si>
    <t>SSB</t>
  </si>
  <si>
    <t>Distance From SSB</t>
  </si>
  <si>
    <t>GREEN BUILDING - GROUND FLOOR</t>
  </si>
  <si>
    <t>Table (4E1B)</t>
  </si>
  <si>
    <t>GREEN BUILDING - LEVEL 1</t>
  </si>
  <si>
    <t>GREEN BUILDING - LEVEL 2 &amp; ROOF</t>
  </si>
  <si>
    <t>HEPA BUILDING - LEVEL 1</t>
  </si>
  <si>
    <t xml:space="preserve">TNB to MSB </t>
  </si>
  <si>
    <t>Distance From MSB</t>
  </si>
  <si>
    <t>not included in 4%</t>
  </si>
  <si>
    <t>HEPA BUILDING -  LEVEL 2 &amp; ROOF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</si>
</sst>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2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10" fontId="1" fillId="0" borderId="5" xfId="0" applyNumberFormat="1" applyFont="1" applyBorder="1" applyAlignment="1">
      <alignment horizontal="center"/>
    </xf>
    <xf numFmtId="10" fontId="1" fillId="0" borderId="7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F144A-D53D-4411-86F2-D73F4CCA8F74}">
  <dimension ref="A1:K23"/>
  <sheetViews>
    <sheetView zoomScale="115" zoomScaleNormal="115" workbookViewId="0">
      <selection activeCell="L15" sqref="L15"/>
    </sheetView>
  </sheetViews>
  <sheetFormatPr defaultRowHeight="15" x14ac:dyDescent="0.25"/>
  <cols>
    <col min="1" max="1" width="21.5703125" bestFit="1" customWidth="1"/>
    <col min="2" max="2" width="37" bestFit="1" customWidth="1"/>
    <col min="3" max="3" width="13.5703125" bestFit="1" customWidth="1"/>
    <col min="4" max="4" width="6.5703125" bestFit="1" customWidth="1"/>
    <col min="5" max="5" width="8.28515625" bestFit="1" customWidth="1"/>
    <col min="6" max="6" width="16.42578125" bestFit="1" customWidth="1"/>
    <col min="7" max="7" width="20.7109375" bestFit="1" customWidth="1"/>
    <col min="8" max="9" width="7.42578125" bestFit="1" customWidth="1"/>
    <col min="10" max="10" width="20.5703125" customWidth="1"/>
    <col min="11" max="11" width="14.5703125" bestFit="1" customWidth="1"/>
    <col min="13" max="13" width="20.42578125" customWidth="1"/>
  </cols>
  <sheetData>
    <row r="1" spans="1:11" x14ac:dyDescent="0.25">
      <c r="A1" s="1"/>
    </row>
    <row r="2" spans="1:11" ht="23.25" x14ac:dyDescent="0.35">
      <c r="A2" s="22" t="s">
        <v>25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1:11" ht="14.25" customHeight="1" x14ac:dyDescent="0.3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</row>
    <row r="4" spans="1:11" ht="23.25" x14ac:dyDescent="0.35">
      <c r="A4" s="5" t="s">
        <v>11</v>
      </c>
      <c r="B4" s="5" t="s">
        <v>10</v>
      </c>
      <c r="C4" s="5" t="s">
        <v>1</v>
      </c>
      <c r="D4" s="5" t="s">
        <v>0</v>
      </c>
      <c r="E4" s="5" t="s">
        <v>9</v>
      </c>
      <c r="F4" s="5" t="s">
        <v>15</v>
      </c>
      <c r="G4" s="5" t="s">
        <v>8</v>
      </c>
      <c r="H4" s="5" t="s">
        <v>16</v>
      </c>
      <c r="I4" s="12" t="s">
        <v>18</v>
      </c>
      <c r="J4" s="5" t="s">
        <v>16</v>
      </c>
      <c r="K4" s="5" t="s">
        <v>17</v>
      </c>
    </row>
    <row r="5" spans="1:11" ht="23.25" x14ac:dyDescent="0.35">
      <c r="A5" s="8" t="s">
        <v>12</v>
      </c>
      <c r="B5" s="4">
        <v>48.6</v>
      </c>
      <c r="C5" s="4">
        <v>2.75</v>
      </c>
      <c r="D5" s="4">
        <v>6</v>
      </c>
      <c r="E5" s="4">
        <v>17.5</v>
      </c>
      <c r="F5" s="4">
        <v>1.5</v>
      </c>
      <c r="G5" s="4">
        <v>29</v>
      </c>
      <c r="H5" s="6">
        <f t="shared" ref="H5:H6" si="0">(G5*B5*C5*0.85)/1000</f>
        <v>3.2944725000000004</v>
      </c>
      <c r="I5" s="13"/>
      <c r="J5" s="7" t="s">
        <v>21</v>
      </c>
      <c r="K5" s="6">
        <f t="shared" ref="K5:K6" si="1">(H5/230)*100</f>
        <v>1.4323793478260871</v>
      </c>
    </row>
    <row r="6" spans="1:11" ht="23.25" x14ac:dyDescent="0.35">
      <c r="A6" s="8" t="s">
        <v>13</v>
      </c>
      <c r="B6" s="4">
        <v>41</v>
      </c>
      <c r="C6" s="4">
        <v>5.5750000000000002</v>
      </c>
      <c r="D6" s="4">
        <v>32</v>
      </c>
      <c r="E6" s="4">
        <v>32</v>
      </c>
      <c r="F6" s="4">
        <v>4</v>
      </c>
      <c r="G6" s="4">
        <v>11</v>
      </c>
      <c r="H6" s="6">
        <f t="shared" si="0"/>
        <v>2.13717625</v>
      </c>
      <c r="I6" s="13"/>
      <c r="J6" s="7" t="s">
        <v>21</v>
      </c>
      <c r="K6" s="6">
        <f t="shared" si="1"/>
        <v>0.92920706521739138</v>
      </c>
    </row>
    <row r="7" spans="1:11" ht="23.25" x14ac:dyDescent="0.35">
      <c r="A7" s="8" t="s">
        <v>14</v>
      </c>
      <c r="B7" s="4">
        <v>44</v>
      </c>
      <c r="C7" s="4">
        <v>4.5999999999999996</v>
      </c>
      <c r="D7" s="4">
        <v>32</v>
      </c>
      <c r="E7" s="4">
        <v>32</v>
      </c>
      <c r="F7" s="4">
        <v>4</v>
      </c>
      <c r="G7" s="4">
        <v>11</v>
      </c>
      <c r="H7" s="6">
        <f>(G7*B7*C7*0.85)/1000</f>
        <v>1.8924399999999997</v>
      </c>
      <c r="I7" s="14"/>
      <c r="J7" s="7" t="s">
        <v>21</v>
      </c>
      <c r="K7" s="6">
        <f>(H7/230)*100</f>
        <v>0.82279999999999998</v>
      </c>
    </row>
    <row r="8" spans="1:11" x14ac:dyDescent="0.2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x14ac:dyDescent="0.25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</row>
    <row r="10" spans="1:11" ht="23.25" x14ac:dyDescent="0.35">
      <c r="A10" s="23" t="s">
        <v>23</v>
      </c>
      <c r="B10" s="9" t="s">
        <v>3</v>
      </c>
      <c r="C10" s="9" t="s">
        <v>1</v>
      </c>
      <c r="D10" s="9" t="s">
        <v>0</v>
      </c>
      <c r="E10" s="9" t="s">
        <v>9</v>
      </c>
      <c r="F10" s="9" t="s">
        <v>15</v>
      </c>
      <c r="G10" s="9" t="s">
        <v>8</v>
      </c>
      <c r="H10" s="9" t="s">
        <v>16</v>
      </c>
      <c r="I10" s="29" t="s">
        <v>16</v>
      </c>
      <c r="J10" s="30"/>
      <c r="K10" s="9" t="s">
        <v>20</v>
      </c>
    </row>
    <row r="11" spans="1:11" ht="23.25" x14ac:dyDescent="0.35">
      <c r="A11" s="24"/>
      <c r="B11" s="4">
        <v>6.5</v>
      </c>
      <c r="C11" s="4">
        <v>15.72</v>
      </c>
      <c r="D11" s="4">
        <v>20</v>
      </c>
      <c r="E11" s="4">
        <v>21</v>
      </c>
      <c r="F11" s="4">
        <v>2.5</v>
      </c>
      <c r="G11" s="4">
        <v>15</v>
      </c>
      <c r="H11" s="6">
        <f>(G11*B11*C11*0.85)/1000</f>
        <v>1.3027950000000001</v>
      </c>
      <c r="I11" s="20" t="s">
        <v>22</v>
      </c>
      <c r="J11" s="21"/>
      <c r="K11" s="6">
        <f>(H11/400)*100</f>
        <v>0.32569875000000004</v>
      </c>
    </row>
    <row r="12" spans="1:11" ht="23.25" x14ac:dyDescent="0.35">
      <c r="A12" s="24"/>
      <c r="B12" s="15"/>
      <c r="C12" s="16"/>
      <c r="D12" s="16"/>
      <c r="E12" s="16"/>
      <c r="F12" s="16"/>
      <c r="G12" s="16"/>
      <c r="H12" s="16"/>
      <c r="I12" s="16"/>
      <c r="J12" s="16"/>
      <c r="K12" s="17"/>
    </row>
    <row r="13" spans="1:11" ht="23.25" x14ac:dyDescent="0.35">
      <c r="A13" s="24"/>
      <c r="B13" s="9" t="s">
        <v>5</v>
      </c>
      <c r="C13" s="9" t="s">
        <v>1</v>
      </c>
      <c r="D13" s="9" t="s">
        <v>0</v>
      </c>
      <c r="E13" s="9" t="s">
        <v>9</v>
      </c>
      <c r="F13" s="9" t="s">
        <v>15</v>
      </c>
      <c r="G13" s="9" t="s">
        <v>8</v>
      </c>
      <c r="H13" s="9" t="s">
        <v>16</v>
      </c>
      <c r="I13" s="29" t="s">
        <v>16</v>
      </c>
      <c r="J13" s="30"/>
      <c r="K13" s="9" t="s">
        <v>20</v>
      </c>
    </row>
    <row r="14" spans="1:11" ht="23.25" x14ac:dyDescent="0.35">
      <c r="A14" s="24"/>
      <c r="B14" s="4">
        <v>7</v>
      </c>
      <c r="C14" s="4">
        <v>44.83</v>
      </c>
      <c r="D14" s="4">
        <v>50</v>
      </c>
      <c r="E14" s="4">
        <v>50</v>
      </c>
      <c r="F14" s="4">
        <v>10</v>
      </c>
      <c r="G14" s="4">
        <v>3.8</v>
      </c>
      <c r="H14" s="6">
        <f t="shared" ref="H14:H21" si="2">(G14*B14*C14*0.85)/1000</f>
        <v>1.0136062999999997</v>
      </c>
      <c r="I14" s="20" t="s">
        <v>4</v>
      </c>
      <c r="J14" s="21"/>
      <c r="K14" s="6">
        <f>(H14/400)*100</f>
        <v>0.25340157499999993</v>
      </c>
    </row>
    <row r="15" spans="1:11" ht="23.25" x14ac:dyDescent="0.35">
      <c r="A15" s="24"/>
      <c r="B15" s="15"/>
      <c r="C15" s="16"/>
      <c r="D15" s="16"/>
      <c r="E15" s="16"/>
      <c r="F15" s="16"/>
      <c r="G15" s="16"/>
      <c r="H15" s="16"/>
      <c r="I15" s="16"/>
      <c r="J15" s="16"/>
      <c r="K15" s="17"/>
    </row>
    <row r="16" spans="1:11" ht="23.25" x14ac:dyDescent="0.35">
      <c r="A16" s="24"/>
      <c r="B16" s="9" t="s">
        <v>6</v>
      </c>
      <c r="C16" s="9" t="s">
        <v>1</v>
      </c>
      <c r="D16" s="9" t="s">
        <v>0</v>
      </c>
      <c r="E16" s="9" t="s">
        <v>9</v>
      </c>
      <c r="F16" s="9" t="s">
        <v>15</v>
      </c>
      <c r="G16" s="9" t="s">
        <v>8</v>
      </c>
      <c r="H16" s="9" t="s">
        <v>16</v>
      </c>
      <c r="I16" s="29" t="s">
        <v>16</v>
      </c>
      <c r="J16" s="30"/>
      <c r="K16" s="9" t="s">
        <v>20</v>
      </c>
    </row>
    <row r="17" spans="1:11" ht="23.25" x14ac:dyDescent="0.35">
      <c r="A17" s="25"/>
      <c r="B17" s="4">
        <v>7.5</v>
      </c>
      <c r="C17" s="4">
        <v>44.299700000000001</v>
      </c>
      <c r="D17" s="4">
        <v>63</v>
      </c>
      <c r="E17" s="4">
        <v>68</v>
      </c>
      <c r="F17" s="4">
        <v>16</v>
      </c>
      <c r="G17" s="4">
        <v>2.4</v>
      </c>
      <c r="H17" s="6">
        <f t="shared" si="2"/>
        <v>0.67778541000000003</v>
      </c>
      <c r="I17" s="20" t="s">
        <v>4</v>
      </c>
      <c r="J17" s="21"/>
      <c r="K17" s="6">
        <f>(H17/400)*100</f>
        <v>0.16944635250000001</v>
      </c>
    </row>
    <row r="18" spans="1:1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</row>
    <row r="19" spans="1:11" x14ac:dyDescent="0.25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23.25" x14ac:dyDescent="0.35">
      <c r="A20" s="23" t="s">
        <v>7</v>
      </c>
      <c r="B20" s="11" t="s">
        <v>24</v>
      </c>
      <c r="C20" s="10" t="s">
        <v>1</v>
      </c>
      <c r="D20" s="10" t="s">
        <v>0</v>
      </c>
      <c r="E20" s="10" t="s">
        <v>9</v>
      </c>
      <c r="F20" s="10" t="s">
        <v>15</v>
      </c>
      <c r="G20" s="10" t="s">
        <v>26</v>
      </c>
      <c r="H20" s="10" t="s">
        <v>16</v>
      </c>
      <c r="I20" s="18" t="s">
        <v>16</v>
      </c>
      <c r="J20" s="19"/>
      <c r="K20" s="10" t="s">
        <v>20</v>
      </c>
    </row>
    <row r="21" spans="1:11" ht="23.25" x14ac:dyDescent="0.35">
      <c r="A21" s="25"/>
      <c r="B21" s="2">
        <v>30.5</v>
      </c>
      <c r="C21" s="2">
        <v>104.85</v>
      </c>
      <c r="D21" s="2">
        <v>100</v>
      </c>
      <c r="E21" s="2">
        <v>117</v>
      </c>
      <c r="F21" s="2">
        <v>25</v>
      </c>
      <c r="G21" s="2">
        <v>1.65</v>
      </c>
      <c r="H21" s="3">
        <f t="shared" si="2"/>
        <v>4.4850898124999992</v>
      </c>
      <c r="I21" s="20" t="s">
        <v>2</v>
      </c>
      <c r="J21" s="21"/>
      <c r="K21" s="6">
        <f>(H21/400)*100</f>
        <v>1.1212724531249998</v>
      </c>
    </row>
    <row r="23" spans="1:11" ht="23.25" x14ac:dyDescent="0.35">
      <c r="G23" s="2" t="s">
        <v>19</v>
      </c>
    </row>
  </sheetData>
  <mergeCells count="14">
    <mergeCell ref="I20:J20"/>
    <mergeCell ref="I21:J21"/>
    <mergeCell ref="A2:K2"/>
    <mergeCell ref="A10:A17"/>
    <mergeCell ref="A20:A21"/>
    <mergeCell ref="A8:K9"/>
    <mergeCell ref="A18:K19"/>
    <mergeCell ref="A3:K3"/>
    <mergeCell ref="I10:J10"/>
    <mergeCell ref="I11:J11"/>
    <mergeCell ref="I13:J13"/>
    <mergeCell ref="I14:J14"/>
    <mergeCell ref="I16:J16"/>
    <mergeCell ref="I17:J17"/>
  </mergeCells>
  <pageMargins left="0.7" right="0.7" top="0.75" bottom="0.75" header="0.3" footer="0.3"/>
  <pageSetup paperSize="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1DBDD-7218-4065-8102-DAFD3B981529}">
  <dimension ref="A1:K23"/>
  <sheetViews>
    <sheetView workbookViewId="0">
      <selection activeCell="B25" sqref="B25"/>
    </sheetView>
  </sheetViews>
  <sheetFormatPr defaultRowHeight="15" x14ac:dyDescent="0.25"/>
  <cols>
    <col min="1" max="1" width="21.5703125" bestFit="1" customWidth="1"/>
    <col min="2" max="2" width="37" bestFit="1" customWidth="1"/>
    <col min="3" max="3" width="13.5703125" bestFit="1" customWidth="1"/>
    <col min="4" max="4" width="6.5703125" bestFit="1" customWidth="1"/>
    <col min="5" max="5" width="8.28515625" bestFit="1" customWidth="1"/>
    <col min="6" max="6" width="16.42578125" bestFit="1" customWidth="1"/>
    <col min="7" max="7" width="20.7109375" bestFit="1" customWidth="1"/>
    <col min="8" max="9" width="7.42578125" bestFit="1" customWidth="1"/>
    <col min="10" max="10" width="15.7109375" bestFit="1" customWidth="1"/>
    <col min="11" max="11" width="14.5703125" bestFit="1" customWidth="1"/>
    <col min="13" max="13" width="20.42578125" customWidth="1"/>
  </cols>
  <sheetData>
    <row r="1" spans="1:11" x14ac:dyDescent="0.25">
      <c r="A1" s="1"/>
    </row>
    <row r="2" spans="1:11" ht="23.25" x14ac:dyDescent="0.35">
      <c r="A2" s="22" t="s">
        <v>27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1:11" ht="23.25" x14ac:dyDescent="0.3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</row>
    <row r="4" spans="1:11" ht="23.25" x14ac:dyDescent="0.35">
      <c r="A4" s="5" t="s">
        <v>11</v>
      </c>
      <c r="B4" s="5" t="s">
        <v>10</v>
      </c>
      <c r="C4" s="5" t="s">
        <v>1</v>
      </c>
      <c r="D4" s="5" t="s">
        <v>0</v>
      </c>
      <c r="E4" s="5" t="s">
        <v>9</v>
      </c>
      <c r="F4" s="5" t="s">
        <v>15</v>
      </c>
      <c r="G4" s="5" t="s">
        <v>8</v>
      </c>
      <c r="H4" s="5" t="s">
        <v>16</v>
      </c>
      <c r="I4" s="12" t="s">
        <v>18</v>
      </c>
      <c r="J4" s="5" t="s">
        <v>16</v>
      </c>
      <c r="K4" s="5" t="s">
        <v>17</v>
      </c>
    </row>
    <row r="5" spans="1:11" ht="23.25" x14ac:dyDescent="0.35">
      <c r="A5" s="8" t="s">
        <v>12</v>
      </c>
      <c r="B5" s="4">
        <v>45</v>
      </c>
      <c r="C5" s="4">
        <v>1.375</v>
      </c>
      <c r="D5" s="4">
        <v>6</v>
      </c>
      <c r="E5" s="4">
        <v>17.5</v>
      </c>
      <c r="F5" s="4">
        <v>1.5</v>
      </c>
      <c r="G5" s="4">
        <v>29</v>
      </c>
      <c r="H5" s="6">
        <v>1.5249999999999999</v>
      </c>
      <c r="I5" s="13"/>
      <c r="J5" s="7" t="s">
        <v>21</v>
      </c>
      <c r="K5" s="6">
        <f t="shared" ref="K5:K6" si="0">(H5/230)*100</f>
        <v>0.66304347826086951</v>
      </c>
    </row>
    <row r="6" spans="1:11" ht="23.25" x14ac:dyDescent="0.35">
      <c r="A6" s="8" t="s">
        <v>13</v>
      </c>
      <c r="B6" s="4">
        <v>46</v>
      </c>
      <c r="C6" s="4">
        <v>8.85</v>
      </c>
      <c r="D6" s="4">
        <v>32</v>
      </c>
      <c r="E6" s="4">
        <v>41</v>
      </c>
      <c r="F6" s="4">
        <v>6</v>
      </c>
      <c r="G6" s="4">
        <v>7.3</v>
      </c>
      <c r="H6" s="6">
        <v>2.52</v>
      </c>
      <c r="I6" s="13"/>
      <c r="J6" s="7" t="s">
        <v>21</v>
      </c>
      <c r="K6" s="6">
        <f t="shared" si="0"/>
        <v>1.0956521739130434</v>
      </c>
    </row>
    <row r="7" spans="1:11" ht="23.25" x14ac:dyDescent="0.35">
      <c r="A7" s="8" t="s">
        <v>14</v>
      </c>
      <c r="B7" s="4">
        <v>46.6</v>
      </c>
      <c r="C7" s="4">
        <v>5.12</v>
      </c>
      <c r="D7" s="4">
        <v>32</v>
      </c>
      <c r="E7" s="4">
        <v>32</v>
      </c>
      <c r="F7" s="4">
        <v>4</v>
      </c>
      <c r="G7" s="4">
        <v>11</v>
      </c>
      <c r="H7" s="6">
        <v>2.2307999999999999</v>
      </c>
      <c r="I7" s="14"/>
      <c r="J7" s="7" t="s">
        <v>21</v>
      </c>
      <c r="K7" s="6">
        <f>(H7/230)*100</f>
        <v>0.96991304347826079</v>
      </c>
    </row>
    <row r="8" spans="1:11" x14ac:dyDescent="0.2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x14ac:dyDescent="0.25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</row>
    <row r="10" spans="1:11" ht="23.25" x14ac:dyDescent="0.35">
      <c r="A10" s="23" t="s">
        <v>23</v>
      </c>
      <c r="B10" s="9" t="s">
        <v>3</v>
      </c>
      <c r="C10" s="9" t="s">
        <v>1</v>
      </c>
      <c r="D10" s="9" t="s">
        <v>0</v>
      </c>
      <c r="E10" s="9" t="s">
        <v>9</v>
      </c>
      <c r="F10" s="9" t="s">
        <v>15</v>
      </c>
      <c r="G10" s="9" t="s">
        <v>8</v>
      </c>
      <c r="H10" s="9" t="s">
        <v>16</v>
      </c>
      <c r="I10" s="29" t="s">
        <v>16</v>
      </c>
      <c r="J10" s="30"/>
      <c r="K10" s="9" t="s">
        <v>20</v>
      </c>
    </row>
    <row r="11" spans="1:11" ht="23.25" x14ac:dyDescent="0.35">
      <c r="A11" s="24"/>
      <c r="B11" s="4">
        <v>7.5</v>
      </c>
      <c r="C11" s="4">
        <v>10.74</v>
      </c>
      <c r="D11" s="4">
        <v>20</v>
      </c>
      <c r="E11" s="4">
        <v>21</v>
      </c>
      <c r="F11" s="4">
        <v>2.5</v>
      </c>
      <c r="G11" s="4">
        <v>15</v>
      </c>
      <c r="H11" s="6">
        <v>1.0269999999999999</v>
      </c>
      <c r="I11" s="20" t="s">
        <v>22</v>
      </c>
      <c r="J11" s="21"/>
      <c r="K11" s="6">
        <f>(H11/400)*100</f>
        <v>0.25674999999999998</v>
      </c>
    </row>
    <row r="12" spans="1:11" ht="23.25" x14ac:dyDescent="0.35">
      <c r="A12" s="24"/>
      <c r="B12" s="15"/>
      <c r="C12" s="16"/>
      <c r="D12" s="16"/>
      <c r="E12" s="16"/>
      <c r="F12" s="16"/>
      <c r="G12" s="16"/>
      <c r="H12" s="16"/>
      <c r="I12" s="16"/>
      <c r="J12" s="16"/>
      <c r="K12" s="17"/>
    </row>
    <row r="13" spans="1:11" ht="23.25" x14ac:dyDescent="0.35">
      <c r="A13" s="24"/>
      <c r="B13" s="9" t="s">
        <v>5</v>
      </c>
      <c r="C13" s="9" t="s">
        <v>1</v>
      </c>
      <c r="D13" s="9" t="s">
        <v>0</v>
      </c>
      <c r="E13" s="9" t="s">
        <v>9</v>
      </c>
      <c r="F13" s="9" t="s">
        <v>15</v>
      </c>
      <c r="G13" s="9" t="s">
        <v>8</v>
      </c>
      <c r="H13" s="9" t="s">
        <v>16</v>
      </c>
      <c r="I13" s="29" t="s">
        <v>16</v>
      </c>
      <c r="J13" s="30"/>
      <c r="K13" s="9" t="s">
        <v>20</v>
      </c>
    </row>
    <row r="14" spans="1:11" ht="23.25" x14ac:dyDescent="0.35">
      <c r="A14" s="24"/>
      <c r="B14" s="4">
        <v>7</v>
      </c>
      <c r="C14" s="4">
        <v>43.37</v>
      </c>
      <c r="D14" s="4">
        <v>50</v>
      </c>
      <c r="E14" s="4">
        <v>50</v>
      </c>
      <c r="F14" s="4">
        <v>10</v>
      </c>
      <c r="G14" s="4">
        <v>3.8</v>
      </c>
      <c r="H14" s="6">
        <f t="shared" ref="H14:H21" si="1">(G14*B14*C14*0.85)/1000</f>
        <v>0.98059569999999985</v>
      </c>
      <c r="I14" s="20" t="s">
        <v>4</v>
      </c>
      <c r="J14" s="21"/>
      <c r="K14" s="6">
        <f>(H14/400)*100</f>
        <v>0.24514892499999996</v>
      </c>
    </row>
    <row r="15" spans="1:11" ht="23.25" x14ac:dyDescent="0.35">
      <c r="A15" s="24"/>
      <c r="B15" s="15"/>
      <c r="C15" s="16"/>
      <c r="D15" s="16"/>
      <c r="E15" s="16"/>
      <c r="F15" s="16"/>
      <c r="G15" s="16"/>
      <c r="H15" s="16"/>
      <c r="I15" s="16"/>
      <c r="J15" s="16"/>
      <c r="K15" s="17"/>
    </row>
    <row r="16" spans="1:11" ht="23.25" x14ac:dyDescent="0.35">
      <c r="A16" s="24"/>
      <c r="B16" s="9" t="s">
        <v>6</v>
      </c>
      <c r="C16" s="9" t="s">
        <v>1</v>
      </c>
      <c r="D16" s="9" t="s">
        <v>0</v>
      </c>
      <c r="E16" s="9" t="s">
        <v>9</v>
      </c>
      <c r="F16" s="9" t="s">
        <v>15</v>
      </c>
      <c r="G16" s="9" t="s">
        <v>8</v>
      </c>
      <c r="H16" s="9" t="s">
        <v>16</v>
      </c>
      <c r="I16" s="29" t="s">
        <v>16</v>
      </c>
      <c r="J16" s="30"/>
      <c r="K16" s="9" t="s">
        <v>20</v>
      </c>
    </row>
    <row r="17" spans="1:11" ht="23.25" x14ac:dyDescent="0.35">
      <c r="A17" s="25"/>
      <c r="B17" s="4">
        <v>6.5</v>
      </c>
      <c r="C17" s="4">
        <v>35.65</v>
      </c>
      <c r="D17" s="4">
        <v>40</v>
      </c>
      <c r="E17" s="4">
        <v>50</v>
      </c>
      <c r="F17" s="4">
        <v>10</v>
      </c>
      <c r="G17" s="4">
        <v>3.8</v>
      </c>
      <c r="H17" s="6">
        <f t="shared" si="1"/>
        <v>0.74847174999999988</v>
      </c>
      <c r="I17" s="20" t="s">
        <v>4</v>
      </c>
      <c r="J17" s="21"/>
      <c r="K17" s="6">
        <f>(H17/400)*100</f>
        <v>0.18711793749999997</v>
      </c>
    </row>
    <row r="18" spans="1:1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</row>
    <row r="19" spans="1:11" x14ac:dyDescent="0.25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23.25" x14ac:dyDescent="0.35">
      <c r="A20" s="23" t="s">
        <v>7</v>
      </c>
      <c r="B20" s="11" t="s">
        <v>24</v>
      </c>
      <c r="C20" s="10" t="s">
        <v>1</v>
      </c>
      <c r="D20" s="10" t="s">
        <v>0</v>
      </c>
      <c r="E20" s="10" t="s">
        <v>9</v>
      </c>
      <c r="F20" s="10" t="s">
        <v>15</v>
      </c>
      <c r="G20" s="10" t="s">
        <v>26</v>
      </c>
      <c r="H20" s="10" t="s">
        <v>16</v>
      </c>
      <c r="I20" s="18" t="s">
        <v>16</v>
      </c>
      <c r="J20" s="19"/>
      <c r="K20" s="10" t="s">
        <v>20</v>
      </c>
    </row>
    <row r="21" spans="1:11" ht="23.25" x14ac:dyDescent="0.35">
      <c r="A21" s="25"/>
      <c r="B21" s="2">
        <v>30.3</v>
      </c>
      <c r="C21" s="2">
        <v>90.69</v>
      </c>
      <c r="D21" s="2">
        <v>100</v>
      </c>
      <c r="E21" s="2">
        <v>117</v>
      </c>
      <c r="F21" s="2">
        <v>25</v>
      </c>
      <c r="G21" s="2">
        <v>1.65</v>
      </c>
      <c r="H21" s="3">
        <f t="shared" si="1"/>
        <v>3.8539395674999999</v>
      </c>
      <c r="I21" s="20" t="s">
        <v>2</v>
      </c>
      <c r="J21" s="21"/>
      <c r="K21" s="6">
        <f>(H21/400)*100</f>
        <v>0.96348489187499997</v>
      </c>
    </row>
    <row r="23" spans="1:11" ht="23.25" x14ac:dyDescent="0.35">
      <c r="G23" s="2" t="s">
        <v>19</v>
      </c>
    </row>
  </sheetData>
  <mergeCells count="14">
    <mergeCell ref="A18:K19"/>
    <mergeCell ref="A20:A21"/>
    <mergeCell ref="I20:J20"/>
    <mergeCell ref="I21:J21"/>
    <mergeCell ref="A2:K2"/>
    <mergeCell ref="A3:K3"/>
    <mergeCell ref="A8:K9"/>
    <mergeCell ref="A10:A17"/>
    <mergeCell ref="I10:J10"/>
    <mergeCell ref="I11:J11"/>
    <mergeCell ref="I13:J13"/>
    <mergeCell ref="I14:J14"/>
    <mergeCell ref="I16:J16"/>
    <mergeCell ref="I17:J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9F626-362E-4FA6-B889-2907415AEB05}">
  <dimension ref="A1:K23"/>
  <sheetViews>
    <sheetView workbookViewId="0">
      <selection activeCell="N16" sqref="N16"/>
    </sheetView>
  </sheetViews>
  <sheetFormatPr defaultRowHeight="15" x14ac:dyDescent="0.25"/>
  <cols>
    <col min="1" max="1" width="21.5703125" bestFit="1" customWidth="1"/>
    <col min="2" max="2" width="37" bestFit="1" customWidth="1"/>
    <col min="3" max="3" width="13.5703125" bestFit="1" customWidth="1"/>
    <col min="4" max="4" width="6.5703125" bestFit="1" customWidth="1"/>
    <col min="5" max="5" width="8.28515625" bestFit="1" customWidth="1"/>
    <col min="6" max="6" width="16.42578125" bestFit="1" customWidth="1"/>
    <col min="7" max="7" width="20.7109375" bestFit="1" customWidth="1"/>
    <col min="8" max="8" width="8.85546875" customWidth="1"/>
    <col min="9" max="9" width="7.42578125" bestFit="1" customWidth="1"/>
    <col min="10" max="10" width="15.85546875" bestFit="1" customWidth="1"/>
    <col min="11" max="11" width="14.5703125" bestFit="1" customWidth="1"/>
    <col min="13" max="13" width="20.42578125" customWidth="1"/>
  </cols>
  <sheetData>
    <row r="1" spans="1:11" x14ac:dyDescent="0.25">
      <c r="A1" s="1"/>
    </row>
    <row r="2" spans="1:11" ht="23.25" x14ac:dyDescent="0.35">
      <c r="A2" s="22" t="s">
        <v>28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1:11" ht="23.25" x14ac:dyDescent="0.3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</row>
    <row r="4" spans="1:11" ht="23.25" x14ac:dyDescent="0.35">
      <c r="A4" s="5" t="s">
        <v>11</v>
      </c>
      <c r="B4" s="5" t="s">
        <v>10</v>
      </c>
      <c r="C4" s="5" t="s">
        <v>1</v>
      </c>
      <c r="D4" s="5" t="s">
        <v>0</v>
      </c>
      <c r="E4" s="5" t="s">
        <v>9</v>
      </c>
      <c r="F4" s="5" t="s">
        <v>15</v>
      </c>
      <c r="G4" s="5" t="s">
        <v>8</v>
      </c>
      <c r="H4" s="5" t="s">
        <v>16</v>
      </c>
      <c r="I4" s="12" t="s">
        <v>18</v>
      </c>
      <c r="J4" s="5" t="s">
        <v>16</v>
      </c>
      <c r="K4" s="5" t="s">
        <v>17</v>
      </c>
    </row>
    <row r="5" spans="1:11" ht="23.25" x14ac:dyDescent="0.35">
      <c r="A5" s="8" t="s">
        <v>12</v>
      </c>
      <c r="B5" s="4">
        <v>33.36</v>
      </c>
      <c r="C5" s="4">
        <v>2.4060000000000001</v>
      </c>
      <c r="D5" s="4">
        <v>6</v>
      </c>
      <c r="E5" s="4">
        <v>17.5</v>
      </c>
      <c r="F5" s="4">
        <v>1.5</v>
      </c>
      <c r="G5" s="4">
        <v>29</v>
      </c>
      <c r="H5" s="6">
        <f t="shared" ref="H5:H6" si="0">(G5*B5*C5*0.85)/1000</f>
        <v>1.9785115440000001</v>
      </c>
      <c r="I5" s="13"/>
      <c r="J5" s="7" t="s">
        <v>21</v>
      </c>
      <c r="K5" s="6">
        <f t="shared" ref="K5:K6" si="1">(H5/230)*100</f>
        <v>0.86022241043478254</v>
      </c>
    </row>
    <row r="6" spans="1:11" ht="23.25" x14ac:dyDescent="0.35">
      <c r="A6" s="8" t="s">
        <v>13</v>
      </c>
      <c r="B6" s="4">
        <v>30</v>
      </c>
      <c r="C6" s="4">
        <v>5.5750000000000002</v>
      </c>
      <c r="D6" s="4">
        <v>32</v>
      </c>
      <c r="E6" s="4">
        <v>32</v>
      </c>
      <c r="F6" s="4">
        <v>4</v>
      </c>
      <c r="G6" s="4">
        <v>11</v>
      </c>
      <c r="H6" s="6">
        <f t="shared" si="0"/>
        <v>1.5637874999999999</v>
      </c>
      <c r="I6" s="13"/>
      <c r="J6" s="7" t="s">
        <v>21</v>
      </c>
      <c r="K6" s="6">
        <f t="shared" si="1"/>
        <v>0.67990760869565214</v>
      </c>
    </row>
    <row r="7" spans="1:11" ht="23.25" x14ac:dyDescent="0.35">
      <c r="A7" s="8" t="s">
        <v>14</v>
      </c>
      <c r="B7" s="4">
        <v>40.299999999999997</v>
      </c>
      <c r="C7" s="4">
        <v>4.0999999999999996</v>
      </c>
      <c r="D7" s="4">
        <v>32</v>
      </c>
      <c r="E7" s="4">
        <v>32</v>
      </c>
      <c r="F7" s="4">
        <v>4</v>
      </c>
      <c r="G7" s="4">
        <v>11</v>
      </c>
      <c r="H7" s="6">
        <f>(G7*B7*C7*0.85)/1000</f>
        <v>1.5449004999999998</v>
      </c>
      <c r="I7" s="14"/>
      <c r="J7" s="7" t="s">
        <v>21</v>
      </c>
      <c r="K7" s="6">
        <f>(H7/230)*100</f>
        <v>0.67169586956521732</v>
      </c>
    </row>
    <row r="8" spans="1:11" x14ac:dyDescent="0.2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x14ac:dyDescent="0.25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</row>
    <row r="10" spans="1:11" ht="23.25" x14ac:dyDescent="0.35">
      <c r="A10" s="23" t="s">
        <v>23</v>
      </c>
      <c r="B10" s="9" t="s">
        <v>3</v>
      </c>
      <c r="C10" s="9" t="s">
        <v>1</v>
      </c>
      <c r="D10" s="9" t="s">
        <v>0</v>
      </c>
      <c r="E10" s="9" t="s">
        <v>9</v>
      </c>
      <c r="F10" s="9" t="s">
        <v>15</v>
      </c>
      <c r="G10" s="9" t="s">
        <v>8</v>
      </c>
      <c r="H10" s="9" t="s">
        <v>16</v>
      </c>
      <c r="I10" s="29" t="s">
        <v>16</v>
      </c>
      <c r="J10" s="30"/>
      <c r="K10" s="9" t="s">
        <v>20</v>
      </c>
    </row>
    <row r="11" spans="1:11" ht="23.25" x14ac:dyDescent="0.35">
      <c r="A11" s="24"/>
      <c r="B11" s="4">
        <v>7.5</v>
      </c>
      <c r="C11" s="4">
        <v>11.56</v>
      </c>
      <c r="D11" s="4">
        <v>20</v>
      </c>
      <c r="E11" s="4">
        <v>21</v>
      </c>
      <c r="F11" s="4">
        <v>2.5</v>
      </c>
      <c r="G11" s="4">
        <v>15</v>
      </c>
      <c r="H11" s="6">
        <f>(G11*B11*C11*0.85)/1000</f>
        <v>1.1054249999999999</v>
      </c>
      <c r="I11" s="20" t="s">
        <v>22</v>
      </c>
      <c r="J11" s="21"/>
      <c r="K11" s="6">
        <f>(H11/400)*100</f>
        <v>0.27635624999999997</v>
      </c>
    </row>
    <row r="12" spans="1:11" ht="23.25" x14ac:dyDescent="0.35">
      <c r="A12" s="24"/>
      <c r="B12" s="15"/>
      <c r="C12" s="16"/>
      <c r="D12" s="16"/>
      <c r="E12" s="16"/>
      <c r="F12" s="16"/>
      <c r="G12" s="16"/>
      <c r="H12" s="16"/>
      <c r="I12" s="16"/>
      <c r="J12" s="16"/>
      <c r="K12" s="17"/>
    </row>
    <row r="13" spans="1:11" ht="23.25" x14ac:dyDescent="0.35">
      <c r="A13" s="24"/>
      <c r="B13" s="9" t="s">
        <v>5</v>
      </c>
      <c r="C13" s="9" t="s">
        <v>1</v>
      </c>
      <c r="D13" s="9" t="s">
        <v>0</v>
      </c>
      <c r="E13" s="9" t="s">
        <v>9</v>
      </c>
      <c r="F13" s="9" t="s">
        <v>15</v>
      </c>
      <c r="G13" s="9" t="s">
        <v>8</v>
      </c>
      <c r="H13" s="9" t="s">
        <v>16</v>
      </c>
      <c r="I13" s="29" t="s">
        <v>16</v>
      </c>
      <c r="J13" s="30"/>
      <c r="K13" s="9" t="s">
        <v>20</v>
      </c>
    </row>
    <row r="14" spans="1:11" ht="23.25" x14ac:dyDescent="0.35">
      <c r="A14" s="24"/>
      <c r="B14" s="4">
        <v>7</v>
      </c>
      <c r="C14" s="4">
        <v>32.823999999999998</v>
      </c>
      <c r="D14" s="4">
        <v>40</v>
      </c>
      <c r="E14" s="4">
        <v>50</v>
      </c>
      <c r="F14" s="4">
        <v>10</v>
      </c>
      <c r="G14" s="4">
        <v>3.8</v>
      </c>
      <c r="H14" s="6">
        <f t="shared" ref="H14:H21" si="2">(G14*B14*C14*0.85)/1000</f>
        <v>0.74215063999999986</v>
      </c>
      <c r="I14" s="20" t="s">
        <v>4</v>
      </c>
      <c r="J14" s="21"/>
      <c r="K14" s="6">
        <f>(H14/400)*100</f>
        <v>0.18553765999999997</v>
      </c>
    </row>
    <row r="15" spans="1:11" ht="23.25" x14ac:dyDescent="0.35">
      <c r="A15" s="24"/>
      <c r="B15" s="15"/>
      <c r="C15" s="16"/>
      <c r="D15" s="16"/>
      <c r="E15" s="16"/>
      <c r="F15" s="16"/>
      <c r="G15" s="16"/>
      <c r="H15" s="16"/>
      <c r="I15" s="16"/>
      <c r="J15" s="16"/>
      <c r="K15" s="17"/>
    </row>
    <row r="16" spans="1:11" ht="23.25" x14ac:dyDescent="0.35">
      <c r="A16" s="24"/>
      <c r="B16" s="9" t="s">
        <v>6</v>
      </c>
      <c r="C16" s="9" t="s">
        <v>1</v>
      </c>
      <c r="D16" s="9" t="s">
        <v>0</v>
      </c>
      <c r="E16" s="9" t="s">
        <v>9</v>
      </c>
      <c r="F16" s="9" t="s">
        <v>15</v>
      </c>
      <c r="G16" s="9" t="s">
        <v>8</v>
      </c>
      <c r="H16" s="9" t="s">
        <v>16</v>
      </c>
      <c r="I16" s="29" t="s">
        <v>16</v>
      </c>
      <c r="J16" s="30"/>
      <c r="K16" s="9" t="s">
        <v>20</v>
      </c>
    </row>
    <row r="17" spans="1:11" ht="23.25" x14ac:dyDescent="0.35">
      <c r="A17" s="25"/>
      <c r="B17" s="4">
        <v>6.5</v>
      </c>
      <c r="C17" s="4">
        <v>35.659999999999997</v>
      </c>
      <c r="D17" s="4">
        <v>40</v>
      </c>
      <c r="E17" s="4">
        <v>50</v>
      </c>
      <c r="F17" s="4">
        <v>10</v>
      </c>
      <c r="G17" s="4">
        <v>3.8</v>
      </c>
      <c r="H17" s="6">
        <f t="shared" si="2"/>
        <v>0.74868169999999989</v>
      </c>
      <c r="I17" s="20" t="s">
        <v>4</v>
      </c>
      <c r="J17" s="21"/>
      <c r="K17" s="6">
        <f>(H17/400)*100</f>
        <v>0.18717042499999997</v>
      </c>
    </row>
    <row r="18" spans="1:1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</row>
    <row r="19" spans="1:11" x14ac:dyDescent="0.25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23.25" x14ac:dyDescent="0.35">
      <c r="A20" s="23" t="s">
        <v>7</v>
      </c>
      <c r="B20" s="11" t="s">
        <v>24</v>
      </c>
      <c r="C20" s="10" t="s">
        <v>1</v>
      </c>
      <c r="D20" s="10" t="s">
        <v>0</v>
      </c>
      <c r="E20" s="10" t="s">
        <v>9</v>
      </c>
      <c r="F20" s="10" t="s">
        <v>15</v>
      </c>
      <c r="G20" s="10" t="s">
        <v>26</v>
      </c>
      <c r="H20" s="10" t="s">
        <v>16</v>
      </c>
      <c r="I20" s="18" t="s">
        <v>16</v>
      </c>
      <c r="J20" s="19"/>
      <c r="K20" s="10" t="s">
        <v>20</v>
      </c>
    </row>
    <row r="21" spans="1:11" ht="23.25" x14ac:dyDescent="0.35">
      <c r="A21" s="25"/>
      <c r="B21" s="2">
        <v>34.1</v>
      </c>
      <c r="C21" s="2">
        <v>96.69</v>
      </c>
      <c r="D21" s="2">
        <v>100</v>
      </c>
      <c r="E21" s="2">
        <v>117</v>
      </c>
      <c r="F21" s="2">
        <v>25</v>
      </c>
      <c r="G21" s="2">
        <v>4.63</v>
      </c>
      <c r="H21" s="3">
        <f t="shared" si="2"/>
        <v>12.975851179499999</v>
      </c>
      <c r="I21" s="20" t="s">
        <v>2</v>
      </c>
      <c r="J21" s="21"/>
      <c r="K21" s="6">
        <f>(H21/400)*100</f>
        <v>3.2439627948750003</v>
      </c>
    </row>
    <row r="23" spans="1:11" ht="23.25" x14ac:dyDescent="0.35">
      <c r="G23" s="2" t="s">
        <v>19</v>
      </c>
    </row>
  </sheetData>
  <mergeCells count="14">
    <mergeCell ref="A18:K19"/>
    <mergeCell ref="A20:A21"/>
    <mergeCell ref="I20:J20"/>
    <mergeCell ref="I21:J21"/>
    <mergeCell ref="A2:K2"/>
    <mergeCell ref="A3:K3"/>
    <mergeCell ref="A8:K9"/>
    <mergeCell ref="A10:A17"/>
    <mergeCell ref="I10:J10"/>
    <mergeCell ref="I11:J11"/>
    <mergeCell ref="I13:J13"/>
    <mergeCell ref="I14:J14"/>
    <mergeCell ref="I16:J16"/>
    <mergeCell ref="I17:J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93CFD-12B6-42B4-9168-46B1AB42437D}">
  <dimension ref="A1:K28"/>
  <sheetViews>
    <sheetView workbookViewId="0">
      <selection activeCell="A2" sqref="A1:XFD1048576"/>
    </sheetView>
  </sheetViews>
  <sheetFormatPr defaultRowHeight="15" x14ac:dyDescent="0.25"/>
  <cols>
    <col min="1" max="1" width="21.5703125" bestFit="1" customWidth="1"/>
    <col min="2" max="2" width="37" bestFit="1" customWidth="1"/>
    <col min="3" max="3" width="13.5703125" bestFit="1" customWidth="1"/>
    <col min="4" max="4" width="6.5703125" bestFit="1" customWidth="1"/>
    <col min="5" max="5" width="8.28515625" bestFit="1" customWidth="1"/>
    <col min="6" max="6" width="16.42578125" bestFit="1" customWidth="1"/>
    <col min="7" max="7" width="20.7109375" bestFit="1" customWidth="1"/>
    <col min="8" max="8" width="11.140625" customWidth="1"/>
    <col min="9" max="9" width="7.42578125" bestFit="1" customWidth="1"/>
    <col min="10" max="10" width="26.5703125" customWidth="1"/>
    <col min="11" max="11" width="14.5703125" bestFit="1" customWidth="1"/>
    <col min="13" max="13" width="20.42578125" customWidth="1"/>
  </cols>
  <sheetData>
    <row r="1" spans="1:11" x14ac:dyDescent="0.25">
      <c r="A1" s="1"/>
    </row>
    <row r="2" spans="1:11" ht="23.25" x14ac:dyDescent="0.35">
      <c r="A2" s="22" t="s">
        <v>29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1:11" ht="23.25" x14ac:dyDescent="0.3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</row>
    <row r="4" spans="1:11" ht="23.25" x14ac:dyDescent="0.35">
      <c r="A4" s="5" t="s">
        <v>11</v>
      </c>
      <c r="B4" s="5" t="s">
        <v>10</v>
      </c>
      <c r="C4" s="5" t="s">
        <v>1</v>
      </c>
      <c r="D4" s="5" t="s">
        <v>0</v>
      </c>
      <c r="E4" s="5" t="s">
        <v>9</v>
      </c>
      <c r="F4" s="5" t="s">
        <v>15</v>
      </c>
      <c r="G4" s="5" t="s">
        <v>8</v>
      </c>
      <c r="H4" s="5" t="s">
        <v>16</v>
      </c>
      <c r="I4" s="12"/>
      <c r="J4" s="5" t="s">
        <v>16</v>
      </c>
      <c r="K4" s="5" t="s">
        <v>17</v>
      </c>
    </row>
    <row r="5" spans="1:11" ht="23.25" x14ac:dyDescent="0.35">
      <c r="A5" s="8" t="s">
        <v>12</v>
      </c>
      <c r="B5" s="4">
        <v>45</v>
      </c>
      <c r="C5" s="4">
        <v>1.72</v>
      </c>
      <c r="D5" s="4">
        <v>6</v>
      </c>
      <c r="E5" s="4">
        <v>17.5</v>
      </c>
      <c r="F5" s="4">
        <v>1.5</v>
      </c>
      <c r="G5" s="4">
        <v>29</v>
      </c>
      <c r="H5" s="6">
        <f t="shared" ref="H5:H6" si="0">(G5*B5*C5*0.85)/1000</f>
        <v>1.9079099999999998</v>
      </c>
      <c r="I5" s="13" t="s">
        <v>18</v>
      </c>
      <c r="J5" s="7" t="s">
        <v>21</v>
      </c>
      <c r="K5" s="6">
        <f t="shared" ref="K5:K6" si="1">(H5/230)*100</f>
        <v>0.82952608695652175</v>
      </c>
    </row>
    <row r="6" spans="1:11" ht="23.25" x14ac:dyDescent="0.35">
      <c r="A6" s="8" t="s">
        <v>13</v>
      </c>
      <c r="B6" s="4">
        <v>48</v>
      </c>
      <c r="C6" s="4">
        <v>8.8000000000000007</v>
      </c>
      <c r="D6" s="4">
        <v>32</v>
      </c>
      <c r="E6" s="4">
        <v>41</v>
      </c>
      <c r="F6" s="4">
        <v>6</v>
      </c>
      <c r="G6" s="4">
        <v>7.3</v>
      </c>
      <c r="H6" s="6">
        <f t="shared" si="0"/>
        <v>2.6209919999999998</v>
      </c>
      <c r="I6" s="13"/>
      <c r="J6" s="7" t="s">
        <v>21</v>
      </c>
      <c r="K6" s="6">
        <f t="shared" si="1"/>
        <v>1.1395617391304347</v>
      </c>
    </row>
    <row r="7" spans="1:11" ht="23.25" x14ac:dyDescent="0.35">
      <c r="A7" s="8" t="s">
        <v>14</v>
      </c>
      <c r="B7" s="4">
        <v>40.299999999999997</v>
      </c>
      <c r="C7" s="4">
        <v>4.0999999999999996</v>
      </c>
      <c r="D7" s="4">
        <v>32</v>
      </c>
      <c r="E7" s="4">
        <v>32</v>
      </c>
      <c r="F7" s="4">
        <v>4</v>
      </c>
      <c r="G7" s="4">
        <v>11</v>
      </c>
      <c r="H7" s="6">
        <f>(G7*B7*C7*0.85)/1000</f>
        <v>1.5449004999999998</v>
      </c>
      <c r="I7" s="13"/>
      <c r="J7" s="7" t="s">
        <v>21</v>
      </c>
      <c r="K7" s="6">
        <f>(H7/230)*100</f>
        <v>0.67169586956521732</v>
      </c>
    </row>
    <row r="8" spans="1:11" x14ac:dyDescent="0.2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x14ac:dyDescent="0.25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</row>
    <row r="10" spans="1:11" ht="23.25" x14ac:dyDescent="0.35">
      <c r="A10" s="23" t="s">
        <v>23</v>
      </c>
      <c r="B10" s="9" t="s">
        <v>3</v>
      </c>
      <c r="C10" s="9" t="s">
        <v>1</v>
      </c>
      <c r="D10" s="9" t="s">
        <v>0</v>
      </c>
      <c r="E10" s="9" t="s">
        <v>9</v>
      </c>
      <c r="F10" s="9" t="s">
        <v>15</v>
      </c>
      <c r="G10" s="9" t="s">
        <v>8</v>
      </c>
      <c r="H10" s="9" t="s">
        <v>16</v>
      </c>
      <c r="I10" s="29" t="s">
        <v>16</v>
      </c>
      <c r="J10" s="30"/>
      <c r="K10" s="9" t="s">
        <v>20</v>
      </c>
    </row>
    <row r="11" spans="1:11" ht="23.25" x14ac:dyDescent="0.35">
      <c r="A11" s="24"/>
      <c r="B11" s="4">
        <v>6.5</v>
      </c>
      <c r="C11" s="4">
        <v>21.9</v>
      </c>
      <c r="D11" s="4">
        <v>32</v>
      </c>
      <c r="E11" s="4">
        <v>36</v>
      </c>
      <c r="F11" s="4">
        <v>6</v>
      </c>
      <c r="G11" s="4">
        <v>6.4</v>
      </c>
      <c r="H11" s="6">
        <f>(G11*B11*C11*0.85)/1000</f>
        <v>0.77438399999999985</v>
      </c>
      <c r="I11" s="20" t="s">
        <v>22</v>
      </c>
      <c r="J11" s="21"/>
      <c r="K11" s="6">
        <f>(H11/400)*100</f>
        <v>0.19359599999999996</v>
      </c>
    </row>
    <row r="12" spans="1:11" ht="23.25" x14ac:dyDescent="0.35">
      <c r="A12" s="24"/>
      <c r="B12" s="15"/>
      <c r="C12" s="16"/>
      <c r="D12" s="16"/>
      <c r="E12" s="16"/>
      <c r="F12" s="16"/>
      <c r="G12" s="16"/>
      <c r="H12" s="16"/>
      <c r="I12" s="16"/>
      <c r="J12" s="16"/>
      <c r="K12" s="17"/>
    </row>
    <row r="13" spans="1:11" ht="23.25" x14ac:dyDescent="0.35">
      <c r="A13" s="24"/>
      <c r="B13" s="9" t="s">
        <v>5</v>
      </c>
      <c r="C13" s="9" t="s">
        <v>1</v>
      </c>
      <c r="D13" s="9" t="s">
        <v>0</v>
      </c>
      <c r="E13" s="9" t="s">
        <v>9</v>
      </c>
      <c r="F13" s="9" t="s">
        <v>15</v>
      </c>
      <c r="G13" s="9" t="s">
        <v>8</v>
      </c>
      <c r="H13" s="9" t="s">
        <v>16</v>
      </c>
      <c r="I13" s="29" t="s">
        <v>16</v>
      </c>
      <c r="J13" s="30"/>
      <c r="K13" s="9" t="s">
        <v>20</v>
      </c>
    </row>
    <row r="14" spans="1:11" ht="23.25" x14ac:dyDescent="0.35">
      <c r="A14" s="24"/>
      <c r="B14" s="4">
        <v>7</v>
      </c>
      <c r="C14" s="4">
        <v>75.7</v>
      </c>
      <c r="D14" s="4">
        <v>80</v>
      </c>
      <c r="E14" s="4">
        <v>89</v>
      </c>
      <c r="F14" s="4">
        <v>25</v>
      </c>
      <c r="G14" s="4">
        <v>1.55</v>
      </c>
      <c r="H14" s="6">
        <f t="shared" ref="H14:H21" si="2">(G14*B14*C14*0.85)/1000</f>
        <v>0.69814324999999999</v>
      </c>
      <c r="I14" s="20" t="s">
        <v>4</v>
      </c>
      <c r="J14" s="21"/>
      <c r="K14" s="6">
        <f>(H14/400)*100</f>
        <v>0.1745358125</v>
      </c>
    </row>
    <row r="15" spans="1:11" ht="23.25" x14ac:dyDescent="0.35">
      <c r="A15" s="24"/>
      <c r="B15" s="15"/>
      <c r="C15" s="16"/>
      <c r="D15" s="16"/>
      <c r="E15" s="16"/>
      <c r="F15" s="16"/>
      <c r="G15" s="16"/>
      <c r="H15" s="16"/>
      <c r="I15" s="16"/>
      <c r="J15" s="16"/>
      <c r="K15" s="17"/>
    </row>
    <row r="16" spans="1:11" ht="23.25" x14ac:dyDescent="0.35">
      <c r="A16" s="24"/>
      <c r="B16" s="9" t="s">
        <v>6</v>
      </c>
      <c r="C16" s="9" t="s">
        <v>1</v>
      </c>
      <c r="D16" s="9" t="s">
        <v>0</v>
      </c>
      <c r="E16" s="9" t="s">
        <v>9</v>
      </c>
      <c r="F16" s="9" t="s">
        <v>15</v>
      </c>
      <c r="G16" s="9" t="s">
        <v>8</v>
      </c>
      <c r="H16" s="9" t="s">
        <v>16</v>
      </c>
      <c r="I16" s="29" t="s">
        <v>16</v>
      </c>
      <c r="J16" s="30"/>
      <c r="K16" s="9" t="s">
        <v>20</v>
      </c>
    </row>
    <row r="17" spans="1:11" ht="23.25" x14ac:dyDescent="0.35">
      <c r="A17" s="25"/>
      <c r="B17" s="4">
        <v>7.5</v>
      </c>
      <c r="C17" s="4">
        <v>55.7</v>
      </c>
      <c r="D17" s="4">
        <v>63</v>
      </c>
      <c r="E17" s="4">
        <v>68</v>
      </c>
      <c r="F17" s="4">
        <v>16</v>
      </c>
      <c r="G17" s="4">
        <v>2.4</v>
      </c>
      <c r="H17" s="6">
        <f t="shared" si="2"/>
        <v>0.85221000000000002</v>
      </c>
      <c r="I17" s="20" t="s">
        <v>4</v>
      </c>
      <c r="J17" s="21"/>
      <c r="K17" s="6">
        <f>(H17/400)*100</f>
        <v>0.21305249999999998</v>
      </c>
    </row>
    <row r="18" spans="1:1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</row>
    <row r="19" spans="1:11" x14ac:dyDescent="0.25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23.25" x14ac:dyDescent="0.35">
      <c r="A20" s="23" t="s">
        <v>7</v>
      </c>
      <c r="B20" s="10" t="s">
        <v>24</v>
      </c>
      <c r="C20" s="10" t="s">
        <v>1</v>
      </c>
      <c r="D20" s="10" t="s">
        <v>0</v>
      </c>
      <c r="E20" s="10" t="s">
        <v>9</v>
      </c>
      <c r="F20" s="10" t="s">
        <v>15</v>
      </c>
      <c r="G20" s="10" t="s">
        <v>8</v>
      </c>
      <c r="H20" s="10" t="s">
        <v>16</v>
      </c>
      <c r="I20" s="18" t="s">
        <v>16</v>
      </c>
      <c r="J20" s="19"/>
      <c r="K20" s="10" t="s">
        <v>20</v>
      </c>
    </row>
    <row r="21" spans="1:11" ht="23.25" x14ac:dyDescent="0.35">
      <c r="A21" s="25"/>
      <c r="B21" s="4">
        <v>6.5</v>
      </c>
      <c r="C21" s="4">
        <v>153.15</v>
      </c>
      <c r="D21" s="4">
        <v>160</v>
      </c>
      <c r="E21" s="4">
        <v>171</v>
      </c>
      <c r="F21" s="4">
        <v>70</v>
      </c>
      <c r="G21" s="4">
        <v>0.61</v>
      </c>
      <c r="H21" s="6">
        <f t="shared" si="2"/>
        <v>0.51615378749999996</v>
      </c>
      <c r="I21" s="20" t="s">
        <v>2</v>
      </c>
      <c r="J21" s="21"/>
      <c r="K21" s="6">
        <f>(H21/400)*100</f>
        <v>0.12903844687499999</v>
      </c>
    </row>
    <row r="25" spans="1:11" ht="23.25" x14ac:dyDescent="0.35">
      <c r="A25" s="23" t="s">
        <v>30</v>
      </c>
      <c r="B25" s="31" t="s">
        <v>31</v>
      </c>
      <c r="C25" s="31" t="s">
        <v>1</v>
      </c>
      <c r="D25" s="31" t="s">
        <v>0</v>
      </c>
      <c r="E25" s="31" t="s">
        <v>9</v>
      </c>
      <c r="F25" s="31" t="s">
        <v>15</v>
      </c>
      <c r="G25" s="31" t="s">
        <v>26</v>
      </c>
      <c r="H25" s="31" t="s">
        <v>16</v>
      </c>
      <c r="I25" s="32" t="s">
        <v>16</v>
      </c>
      <c r="J25" s="33"/>
      <c r="K25" s="31" t="s">
        <v>20</v>
      </c>
    </row>
    <row r="26" spans="1:11" ht="23.25" x14ac:dyDescent="0.35">
      <c r="A26" s="25"/>
      <c r="B26" s="4">
        <v>120</v>
      </c>
      <c r="C26" s="4">
        <v>566</v>
      </c>
      <c r="D26" s="4">
        <v>630</v>
      </c>
      <c r="E26" s="4">
        <v>666</v>
      </c>
      <c r="F26" s="4">
        <v>500</v>
      </c>
      <c r="G26" s="4">
        <v>0.24</v>
      </c>
      <c r="H26" s="6">
        <f>(G26*B26*C26*0.85)/1000</f>
        <v>13.855679999999998</v>
      </c>
      <c r="I26" s="20" t="s">
        <v>32</v>
      </c>
      <c r="J26" s="21"/>
      <c r="K26" s="6">
        <f>(H26/400)*100</f>
        <v>3.4639199999999994</v>
      </c>
    </row>
    <row r="28" spans="1:11" ht="23.25" x14ac:dyDescent="0.35">
      <c r="G28" s="2" t="s">
        <v>19</v>
      </c>
    </row>
  </sheetData>
  <mergeCells count="17">
    <mergeCell ref="A18:K19"/>
    <mergeCell ref="A20:A21"/>
    <mergeCell ref="I20:J20"/>
    <mergeCell ref="I21:J21"/>
    <mergeCell ref="A25:A26"/>
    <mergeCell ref="I25:J25"/>
    <mergeCell ref="I26:J26"/>
    <mergeCell ref="A2:K2"/>
    <mergeCell ref="A3:K3"/>
    <mergeCell ref="A8:K9"/>
    <mergeCell ref="A10:A17"/>
    <mergeCell ref="I10:J10"/>
    <mergeCell ref="I11:J11"/>
    <mergeCell ref="I13:J13"/>
    <mergeCell ref="I14:J14"/>
    <mergeCell ref="I16:J16"/>
    <mergeCell ref="I17:J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6C1FC-E09B-412D-A65B-3CCEC63A3CA3}">
  <dimension ref="A1:K23"/>
  <sheetViews>
    <sheetView tabSelected="1" workbookViewId="0">
      <selection activeCell="M11" sqref="M11"/>
    </sheetView>
  </sheetViews>
  <sheetFormatPr defaultRowHeight="15" x14ac:dyDescent="0.25"/>
  <cols>
    <col min="1" max="1" width="21.5703125" bestFit="1" customWidth="1"/>
    <col min="2" max="2" width="37" bestFit="1" customWidth="1"/>
    <col min="3" max="3" width="13.5703125" bestFit="1" customWidth="1"/>
    <col min="4" max="4" width="6.5703125" bestFit="1" customWidth="1"/>
    <col min="5" max="5" width="8.28515625" bestFit="1" customWidth="1"/>
    <col min="6" max="6" width="16.42578125" bestFit="1" customWidth="1"/>
    <col min="7" max="7" width="20.7109375" bestFit="1" customWidth="1"/>
    <col min="8" max="8" width="10.42578125" bestFit="1" customWidth="1"/>
    <col min="9" max="9" width="7.42578125" bestFit="1" customWidth="1"/>
    <col min="10" max="10" width="26.5703125" customWidth="1"/>
    <col min="11" max="11" width="14.5703125" bestFit="1" customWidth="1"/>
    <col min="13" max="13" width="20.42578125" customWidth="1"/>
  </cols>
  <sheetData>
    <row r="1" spans="1:11" x14ac:dyDescent="0.25">
      <c r="A1" s="1"/>
    </row>
    <row r="2" spans="1:11" ht="23.25" x14ac:dyDescent="0.35">
      <c r="A2" s="22" t="s">
        <v>33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1:11" ht="23.25" x14ac:dyDescent="0.3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</row>
    <row r="4" spans="1:11" ht="23.25" x14ac:dyDescent="0.35">
      <c r="A4" s="5" t="s">
        <v>11</v>
      </c>
      <c r="B4" s="5" t="s">
        <v>10</v>
      </c>
      <c r="C4" s="5" t="s">
        <v>1</v>
      </c>
      <c r="D4" s="5" t="s">
        <v>0</v>
      </c>
      <c r="E4" s="5" t="s">
        <v>9</v>
      </c>
      <c r="F4" s="5" t="s">
        <v>15</v>
      </c>
      <c r="G4" s="5" t="s">
        <v>8</v>
      </c>
      <c r="H4" s="5" t="s">
        <v>16</v>
      </c>
      <c r="I4" s="12"/>
      <c r="J4" s="5" t="s">
        <v>16</v>
      </c>
      <c r="K4" s="5" t="s">
        <v>17</v>
      </c>
    </row>
    <row r="5" spans="1:11" ht="23.25" x14ac:dyDescent="0.35">
      <c r="A5" s="8" t="s">
        <v>12</v>
      </c>
      <c r="B5" s="4">
        <v>33.200000000000003</v>
      </c>
      <c r="C5" s="4">
        <v>2.92</v>
      </c>
      <c r="D5" s="4">
        <v>6</v>
      </c>
      <c r="E5" s="4">
        <v>17.5</v>
      </c>
      <c r="F5" s="4">
        <v>1.5</v>
      </c>
      <c r="G5" s="4">
        <v>29</v>
      </c>
      <c r="H5" s="6">
        <f>(G5*B5*C5*0.85)/1000</f>
        <v>2.3896696000000004</v>
      </c>
      <c r="I5" s="13" t="s">
        <v>18</v>
      </c>
      <c r="J5" s="7" t="s">
        <v>21</v>
      </c>
      <c r="K5" s="6">
        <f t="shared" ref="K5:K6" si="0">(H5/230)*100</f>
        <v>1.0389867826086958</v>
      </c>
    </row>
    <row r="6" spans="1:11" ht="23.25" x14ac:dyDescent="0.35">
      <c r="A6" s="8" t="s">
        <v>13</v>
      </c>
      <c r="B6" s="4">
        <v>34.200000000000003</v>
      </c>
      <c r="C6" s="4">
        <v>4.3499999999999996</v>
      </c>
      <c r="D6" s="4">
        <v>32</v>
      </c>
      <c r="E6" s="4">
        <v>32</v>
      </c>
      <c r="F6" s="4">
        <v>4</v>
      </c>
      <c r="G6" s="4">
        <v>11</v>
      </c>
      <c r="H6" s="6">
        <f t="shared" ref="H6" si="1">(G6*B6*C6*0.85)/1000</f>
        <v>1.3909994999999999</v>
      </c>
      <c r="I6" s="13"/>
      <c r="J6" s="7" t="s">
        <v>21</v>
      </c>
      <c r="K6" s="6">
        <f t="shared" si="0"/>
        <v>0.60478239130434785</v>
      </c>
    </row>
    <row r="7" spans="1:11" ht="23.25" x14ac:dyDescent="0.35">
      <c r="A7" s="8" t="s">
        <v>14</v>
      </c>
      <c r="B7" s="4">
        <v>34.5</v>
      </c>
      <c r="C7" s="4">
        <v>5.12</v>
      </c>
      <c r="D7" s="4">
        <v>32</v>
      </c>
      <c r="E7" s="4">
        <v>32</v>
      </c>
      <c r="F7" s="4">
        <v>4</v>
      </c>
      <c r="G7" s="4">
        <v>11</v>
      </c>
      <c r="H7" s="6">
        <f>(G7*B7*C7*0.85)/1000</f>
        <v>1.6515839999999999</v>
      </c>
      <c r="I7" s="13"/>
      <c r="J7" s="7" t="s">
        <v>21</v>
      </c>
      <c r="K7" s="6">
        <f>(H7/230)*100</f>
        <v>0.71807999999999994</v>
      </c>
    </row>
    <row r="8" spans="1:11" x14ac:dyDescent="0.2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x14ac:dyDescent="0.25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</row>
    <row r="10" spans="1:11" ht="23.25" x14ac:dyDescent="0.35">
      <c r="A10" s="23" t="s">
        <v>23</v>
      </c>
      <c r="B10" s="9" t="s">
        <v>3</v>
      </c>
      <c r="C10" s="9" t="s">
        <v>1</v>
      </c>
      <c r="D10" s="9" t="s">
        <v>0</v>
      </c>
      <c r="E10" s="9" t="s">
        <v>9</v>
      </c>
      <c r="F10" s="9" t="s">
        <v>15</v>
      </c>
      <c r="G10" s="9" t="s">
        <v>8</v>
      </c>
      <c r="H10" s="9" t="s">
        <v>16</v>
      </c>
      <c r="I10" s="29" t="s">
        <v>16</v>
      </c>
      <c r="J10" s="30"/>
      <c r="K10" s="9" t="s">
        <v>20</v>
      </c>
    </row>
    <row r="11" spans="1:11" ht="23.25" x14ac:dyDescent="0.35">
      <c r="A11" s="24"/>
      <c r="B11" s="4">
        <v>6.5</v>
      </c>
      <c r="C11" s="4">
        <v>15.6</v>
      </c>
      <c r="D11" s="4">
        <v>20</v>
      </c>
      <c r="E11" s="4">
        <v>21</v>
      </c>
      <c r="F11" s="4">
        <v>2.5</v>
      </c>
      <c r="G11" s="4">
        <v>15</v>
      </c>
      <c r="H11" s="6">
        <f>(G11*B11*C11*0.85)/1000</f>
        <v>1.2928499999999998</v>
      </c>
      <c r="I11" s="20" t="s">
        <v>22</v>
      </c>
      <c r="J11" s="21"/>
      <c r="K11" s="6">
        <f>(H11/400)*100</f>
        <v>0.32321249999999996</v>
      </c>
    </row>
    <row r="12" spans="1:11" ht="23.25" x14ac:dyDescent="0.35">
      <c r="A12" s="24"/>
      <c r="B12" s="15"/>
      <c r="C12" s="16"/>
      <c r="D12" s="16"/>
      <c r="E12" s="16"/>
      <c r="F12" s="16"/>
      <c r="G12" s="16"/>
      <c r="H12" s="16"/>
      <c r="I12" s="16"/>
      <c r="J12" s="16"/>
      <c r="K12" s="17"/>
    </row>
    <row r="13" spans="1:11" ht="23.25" x14ac:dyDescent="0.35">
      <c r="A13" s="24"/>
      <c r="B13" s="9" t="s">
        <v>5</v>
      </c>
      <c r="C13" s="9" t="s">
        <v>1</v>
      </c>
      <c r="D13" s="9" t="s">
        <v>0</v>
      </c>
      <c r="E13" s="9" t="s">
        <v>9</v>
      </c>
      <c r="F13" s="9" t="s">
        <v>15</v>
      </c>
      <c r="G13" s="9" t="s">
        <v>8</v>
      </c>
      <c r="H13" s="9" t="s">
        <v>16</v>
      </c>
      <c r="I13" s="29" t="s">
        <v>16</v>
      </c>
      <c r="J13" s="30"/>
      <c r="K13" s="9" t="s">
        <v>20</v>
      </c>
    </row>
    <row r="14" spans="1:11" ht="23.25" x14ac:dyDescent="0.35">
      <c r="A14" s="24"/>
      <c r="B14" s="4">
        <v>7</v>
      </c>
      <c r="C14" s="4">
        <v>52.82</v>
      </c>
      <c r="D14" s="4">
        <v>63</v>
      </c>
      <c r="E14" s="4">
        <v>68</v>
      </c>
      <c r="F14" s="4">
        <v>16</v>
      </c>
      <c r="G14" s="4">
        <v>2.4</v>
      </c>
      <c r="H14" s="6">
        <f t="shared" ref="H14:H21" si="2">(G14*B14*C14*0.85)/1000</f>
        <v>0.7542696000000001</v>
      </c>
      <c r="I14" s="20" t="s">
        <v>4</v>
      </c>
      <c r="J14" s="21"/>
      <c r="K14" s="6">
        <f>(H14/400)*100</f>
        <v>0.18856740000000002</v>
      </c>
    </row>
    <row r="15" spans="1:11" ht="23.25" x14ac:dyDescent="0.35">
      <c r="A15" s="24"/>
      <c r="B15" s="15"/>
      <c r="C15" s="16"/>
      <c r="D15" s="16"/>
      <c r="E15" s="16"/>
      <c r="F15" s="16"/>
      <c r="G15" s="16"/>
      <c r="H15" s="16"/>
      <c r="I15" s="16"/>
      <c r="J15" s="16"/>
      <c r="K15" s="17"/>
    </row>
    <row r="16" spans="1:11" ht="23.25" x14ac:dyDescent="0.35">
      <c r="A16" s="24"/>
      <c r="B16" s="9" t="s">
        <v>6</v>
      </c>
      <c r="C16" s="9" t="s">
        <v>1</v>
      </c>
      <c r="D16" s="9" t="s">
        <v>0</v>
      </c>
      <c r="E16" s="9" t="s">
        <v>9</v>
      </c>
      <c r="F16" s="9" t="s">
        <v>15</v>
      </c>
      <c r="G16" s="9" t="s">
        <v>8</v>
      </c>
      <c r="H16" s="9" t="s">
        <v>16</v>
      </c>
      <c r="I16" s="29" t="s">
        <v>16</v>
      </c>
      <c r="J16" s="30"/>
      <c r="K16" s="9" t="s">
        <v>20</v>
      </c>
    </row>
    <row r="17" spans="1:11" ht="23.25" x14ac:dyDescent="0.35">
      <c r="A17" s="25"/>
      <c r="B17" s="4">
        <v>7.5</v>
      </c>
      <c r="C17" s="4">
        <v>52.22</v>
      </c>
      <c r="D17" s="4">
        <v>63</v>
      </c>
      <c r="E17" s="4">
        <v>68</v>
      </c>
      <c r="F17" s="4">
        <v>16</v>
      </c>
      <c r="G17" s="4">
        <v>2.4</v>
      </c>
      <c r="H17" s="6">
        <f t="shared" si="2"/>
        <v>0.79896599999999995</v>
      </c>
      <c r="I17" s="20" t="s">
        <v>4</v>
      </c>
      <c r="J17" s="21"/>
      <c r="K17" s="6">
        <f>(H17/400)*100</f>
        <v>0.19974149999999999</v>
      </c>
    </row>
    <row r="18" spans="1:1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</row>
    <row r="19" spans="1:11" x14ac:dyDescent="0.25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23.25" x14ac:dyDescent="0.35">
      <c r="A20" s="23" t="s">
        <v>7</v>
      </c>
      <c r="B20" s="10" t="s">
        <v>24</v>
      </c>
      <c r="C20" s="10" t="s">
        <v>1</v>
      </c>
      <c r="D20" s="10" t="s">
        <v>0</v>
      </c>
      <c r="E20" s="10" t="s">
        <v>9</v>
      </c>
      <c r="F20" s="10" t="s">
        <v>15</v>
      </c>
      <c r="G20" s="10" t="s">
        <v>8</v>
      </c>
      <c r="H20" s="10" t="s">
        <v>16</v>
      </c>
      <c r="I20" s="18" t="s">
        <v>16</v>
      </c>
      <c r="J20" s="19"/>
      <c r="K20" s="10" t="s">
        <v>20</v>
      </c>
    </row>
    <row r="21" spans="1:11" ht="23.25" x14ac:dyDescent="0.35">
      <c r="A21" s="25"/>
      <c r="B21" s="4">
        <v>10.3</v>
      </c>
      <c r="C21" s="4">
        <v>120.58</v>
      </c>
      <c r="D21" s="4">
        <v>125</v>
      </c>
      <c r="E21" s="4">
        <v>134</v>
      </c>
      <c r="F21" s="4">
        <v>50</v>
      </c>
      <c r="G21" s="4">
        <v>0.85</v>
      </c>
      <c r="H21" s="6">
        <f t="shared" si="2"/>
        <v>0.89732621500000009</v>
      </c>
      <c r="I21" s="20" t="s">
        <v>2</v>
      </c>
      <c r="J21" s="21"/>
      <c r="K21" s="6">
        <f>(H21/400)*100</f>
        <v>0.22433155375000002</v>
      </c>
    </row>
    <row r="23" spans="1:11" ht="23.25" x14ac:dyDescent="0.35">
      <c r="G23" s="2" t="s">
        <v>19</v>
      </c>
    </row>
  </sheetData>
  <mergeCells count="14">
    <mergeCell ref="A18:K19"/>
    <mergeCell ref="A20:A21"/>
    <mergeCell ref="I20:J20"/>
    <mergeCell ref="I21:J21"/>
    <mergeCell ref="A2:K2"/>
    <mergeCell ref="A3:K3"/>
    <mergeCell ref="A8:K9"/>
    <mergeCell ref="A10:A17"/>
    <mergeCell ref="I10:J10"/>
    <mergeCell ref="I11:J11"/>
    <mergeCell ref="I13:J13"/>
    <mergeCell ref="I14:J14"/>
    <mergeCell ref="I16:J16"/>
    <mergeCell ref="I17:J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GREEN - GROUND</vt:lpstr>
      <vt:lpstr>GREEN - LEVEL 1</vt:lpstr>
      <vt:lpstr>GREEN - LEVEL 2 &amp; ROOF</vt:lpstr>
      <vt:lpstr>HEBA - LEVEL 1 &amp; TNB TO MSB</vt:lpstr>
      <vt:lpstr>HEBA - LEVEL 2 &amp; ROOF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Muath Bawazir</dc:creator>
  <cp:lastModifiedBy>ADEL HUSHAM MOHAMEDAIN YOUSUF</cp:lastModifiedBy>
  <cp:lastPrinted>2026-06-16T15:58:01Z</cp:lastPrinted>
  <dcterms:created xsi:type="dcterms:W3CDTF">2026-06-08T11:09:51Z</dcterms:created>
  <dcterms:modified xsi:type="dcterms:W3CDTF">2026-06-19T19:22:51Z</dcterms:modified>
</cp:coreProperties>
</file>