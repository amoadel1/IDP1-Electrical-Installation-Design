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4/WALEED/"/>
    </mc:Choice>
  </mc:AlternateContent>
  <xr:revisionPtr revIDLastSave="15" documentId="8_{9A36BB83-6C40-479B-8943-9157082BF65F}" xr6:coauthVersionLast="47" xr6:coauthVersionMax="47" xr10:uidLastSave="{12BF7A87-9B91-456E-B108-9B1E24013AD7}"/>
  <bookViews>
    <workbookView xWindow="-120" yWindow="-120" windowWidth="29040" windowHeight="15720" xr2:uid="{A05A1EBC-B1BE-48A5-9011-38E3D02D845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21" i="1"/>
  <c r="K21" i="1"/>
  <c r="H17" i="1"/>
  <c r="K17" i="1"/>
  <c r="H14" i="1"/>
  <c r="K14" i="1"/>
  <c r="H11" i="1"/>
  <c r="K11" i="1"/>
  <c r="K5" i="1"/>
  <c r="K6" i="1"/>
  <c r="K7" i="1"/>
</calcChain>
</file>

<file path=xl/sharedStrings.xml><?xml version="1.0" encoding="utf-8"?>
<sst xmlns="http://schemas.openxmlformats.org/spreadsheetml/2006/main" count="61" uniqueCount="26">
  <si>
    <t>In</t>
  </si>
  <si>
    <t>Ib</t>
  </si>
  <si>
    <t>less 1.5%</t>
  </si>
  <si>
    <t>Distance from DB (L&amp;F)</t>
  </si>
  <si>
    <t>less 1%</t>
  </si>
  <si>
    <t>Distance from DB (AC)</t>
  </si>
  <si>
    <t>Distance from DB (P)</t>
  </si>
  <si>
    <t>MSB to SSB1</t>
  </si>
  <si>
    <t>Table (4D1B)</t>
  </si>
  <si>
    <t>Iz</t>
  </si>
  <si>
    <t>Farest Load Distance</t>
  </si>
  <si>
    <t>DB Type</t>
  </si>
  <si>
    <t>DB Lighting</t>
  </si>
  <si>
    <t>DB AC</t>
  </si>
  <si>
    <t>DB POWER</t>
  </si>
  <si>
    <t>Cable Size</t>
  </si>
  <si>
    <t>Vd</t>
  </si>
  <si>
    <t>Vd% 1ph</t>
  </si>
  <si>
    <t>JKR</t>
  </si>
  <si>
    <t>Ib&lt;= In &lt;= Iz</t>
  </si>
  <si>
    <t>Vd% 3ph</t>
  </si>
  <si>
    <t>Less 1.5%</t>
  </si>
  <si>
    <t>Less 1%</t>
  </si>
  <si>
    <t>SSB</t>
  </si>
  <si>
    <t>Distance From SSB</t>
  </si>
  <si>
    <t>HEPA BUILDING -  LEVEL 2 &amp;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</si>
</sst>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10" fontId="1" fillId="0" borderId="7" xfId="0" applyNumberFormat="1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144A-D53D-4411-86F2-D73F4CCA8F74}">
  <dimension ref="A1:K23"/>
  <sheetViews>
    <sheetView tabSelected="1" zoomScaleNormal="100" workbookViewId="0">
      <selection activeCell="A2" sqref="A2:K2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8" width="10.42578125" bestFit="1" customWidth="1"/>
    <col min="9" max="9" width="7.42578125" bestFit="1" customWidth="1"/>
    <col min="10" max="10" width="26.5703125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19" t="s">
        <v>25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4.25" customHeight="1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23.25" x14ac:dyDescent="0.35">
      <c r="A4" s="4" t="s">
        <v>11</v>
      </c>
      <c r="B4" s="4" t="s">
        <v>10</v>
      </c>
      <c r="C4" s="4" t="s">
        <v>1</v>
      </c>
      <c r="D4" s="4" t="s">
        <v>0</v>
      </c>
      <c r="E4" s="4" t="s">
        <v>9</v>
      </c>
      <c r="F4" s="4" t="s">
        <v>15</v>
      </c>
      <c r="G4" s="4" t="s">
        <v>8</v>
      </c>
      <c r="H4" s="4" t="s">
        <v>16</v>
      </c>
      <c r="I4" s="10"/>
      <c r="J4" s="4" t="s">
        <v>16</v>
      </c>
      <c r="K4" s="4" t="s">
        <v>17</v>
      </c>
    </row>
    <row r="5" spans="1:11" ht="23.25" x14ac:dyDescent="0.35">
      <c r="A5" s="7" t="s">
        <v>12</v>
      </c>
      <c r="B5" s="3">
        <v>33.200000000000003</v>
      </c>
      <c r="C5" s="3">
        <v>2.92</v>
      </c>
      <c r="D5" s="3">
        <v>6</v>
      </c>
      <c r="E5" s="3">
        <v>17.5</v>
      </c>
      <c r="F5" s="3">
        <v>1.5</v>
      </c>
      <c r="G5" s="3">
        <v>29</v>
      </c>
      <c r="H5" s="5">
        <f>(G5*B5*C5*0.85)/1000</f>
        <v>2.3896696000000004</v>
      </c>
      <c r="I5" s="11" t="s">
        <v>18</v>
      </c>
      <c r="J5" s="6" t="s">
        <v>21</v>
      </c>
      <c r="K5" s="5">
        <f t="shared" ref="K5:K6" si="0">(H5/230)*100</f>
        <v>1.0389867826086958</v>
      </c>
    </row>
    <row r="6" spans="1:11" ht="23.25" x14ac:dyDescent="0.35">
      <c r="A6" s="7" t="s">
        <v>13</v>
      </c>
      <c r="B6" s="3">
        <v>34.200000000000003</v>
      </c>
      <c r="C6" s="3">
        <v>4.3499999999999996</v>
      </c>
      <c r="D6" s="3">
        <v>32</v>
      </c>
      <c r="E6" s="3">
        <v>32</v>
      </c>
      <c r="F6" s="3">
        <v>4</v>
      </c>
      <c r="G6" s="3">
        <v>11</v>
      </c>
      <c r="H6" s="5">
        <f t="shared" ref="H6" si="1">(G6*B6*C6*0.85)/1000</f>
        <v>1.3909994999999999</v>
      </c>
      <c r="I6" s="11"/>
      <c r="J6" s="6" t="s">
        <v>21</v>
      </c>
      <c r="K6" s="5">
        <f t="shared" si="0"/>
        <v>0.60478239130434785</v>
      </c>
    </row>
    <row r="7" spans="1:11" ht="23.25" x14ac:dyDescent="0.35">
      <c r="A7" s="7" t="s">
        <v>14</v>
      </c>
      <c r="B7" s="3">
        <v>34.5</v>
      </c>
      <c r="C7" s="3">
        <v>5.12</v>
      </c>
      <c r="D7" s="3">
        <v>32</v>
      </c>
      <c r="E7" s="3">
        <v>32</v>
      </c>
      <c r="F7" s="3">
        <v>4</v>
      </c>
      <c r="G7" s="3">
        <v>11</v>
      </c>
      <c r="H7" s="5">
        <f>(G7*B7*C7*0.85)/1000</f>
        <v>1.6515839999999999</v>
      </c>
      <c r="I7" s="11"/>
      <c r="J7" s="6" t="s">
        <v>21</v>
      </c>
      <c r="K7" s="5">
        <f>(H7/230)*100</f>
        <v>0.71807999999999994</v>
      </c>
    </row>
    <row r="8" spans="1:1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ht="23.25" x14ac:dyDescent="0.35">
      <c r="A10" s="20" t="s">
        <v>23</v>
      </c>
      <c r="B10" s="8" t="s">
        <v>3</v>
      </c>
      <c r="C10" s="8" t="s">
        <v>1</v>
      </c>
      <c r="D10" s="8" t="s">
        <v>0</v>
      </c>
      <c r="E10" s="8" t="s">
        <v>9</v>
      </c>
      <c r="F10" s="8" t="s">
        <v>15</v>
      </c>
      <c r="G10" s="8" t="s">
        <v>8</v>
      </c>
      <c r="H10" s="8" t="s">
        <v>16</v>
      </c>
      <c r="I10" s="26" t="s">
        <v>16</v>
      </c>
      <c r="J10" s="27"/>
      <c r="K10" s="8" t="s">
        <v>20</v>
      </c>
    </row>
    <row r="11" spans="1:11" ht="23.25" x14ac:dyDescent="0.35">
      <c r="A11" s="21"/>
      <c r="B11" s="3">
        <v>6.5</v>
      </c>
      <c r="C11" s="3">
        <v>15.6</v>
      </c>
      <c r="D11" s="3">
        <v>20</v>
      </c>
      <c r="E11" s="3">
        <v>21</v>
      </c>
      <c r="F11" s="3">
        <v>2.5</v>
      </c>
      <c r="G11" s="3">
        <v>15</v>
      </c>
      <c r="H11" s="5">
        <f>(G11*B11*C11*0.85)/1000</f>
        <v>1.2928499999999998</v>
      </c>
      <c r="I11" s="15" t="s">
        <v>22</v>
      </c>
      <c r="J11" s="16"/>
      <c r="K11" s="5">
        <f>(H11/400)*100</f>
        <v>0.32321249999999996</v>
      </c>
    </row>
    <row r="12" spans="1:11" ht="23.25" x14ac:dyDescent="0.35">
      <c r="A12" s="21"/>
      <c r="B12" s="12"/>
      <c r="C12" s="13"/>
      <c r="D12" s="13"/>
      <c r="E12" s="13"/>
      <c r="F12" s="13"/>
      <c r="G12" s="13"/>
      <c r="H12" s="13"/>
      <c r="I12" s="13"/>
      <c r="J12" s="13"/>
      <c r="K12" s="14"/>
    </row>
    <row r="13" spans="1:11" ht="23.25" x14ac:dyDescent="0.35">
      <c r="A13" s="21"/>
      <c r="B13" s="8" t="s">
        <v>5</v>
      </c>
      <c r="C13" s="8" t="s">
        <v>1</v>
      </c>
      <c r="D13" s="8" t="s">
        <v>0</v>
      </c>
      <c r="E13" s="8" t="s">
        <v>9</v>
      </c>
      <c r="F13" s="8" t="s">
        <v>15</v>
      </c>
      <c r="G13" s="8" t="s">
        <v>8</v>
      </c>
      <c r="H13" s="8" t="s">
        <v>16</v>
      </c>
      <c r="I13" s="26" t="s">
        <v>16</v>
      </c>
      <c r="J13" s="27"/>
      <c r="K13" s="8" t="s">
        <v>20</v>
      </c>
    </row>
    <row r="14" spans="1:11" ht="23.25" x14ac:dyDescent="0.35">
      <c r="A14" s="21"/>
      <c r="B14" s="3">
        <v>7</v>
      </c>
      <c r="C14" s="3">
        <v>52.82</v>
      </c>
      <c r="D14" s="3">
        <v>63</v>
      </c>
      <c r="E14" s="3">
        <v>68</v>
      </c>
      <c r="F14" s="3">
        <v>16</v>
      </c>
      <c r="G14" s="3">
        <v>2.4</v>
      </c>
      <c r="H14" s="5">
        <f t="shared" ref="H14:H21" si="2">(G14*B14*C14*0.85)/1000</f>
        <v>0.7542696000000001</v>
      </c>
      <c r="I14" s="15" t="s">
        <v>4</v>
      </c>
      <c r="J14" s="16"/>
      <c r="K14" s="5">
        <f>(H14/400)*100</f>
        <v>0.18856740000000002</v>
      </c>
    </row>
    <row r="15" spans="1:11" ht="23.25" x14ac:dyDescent="0.35">
      <c r="A15" s="21"/>
      <c r="B15" s="12"/>
      <c r="C15" s="13"/>
      <c r="D15" s="13"/>
      <c r="E15" s="13"/>
      <c r="F15" s="13"/>
      <c r="G15" s="13"/>
      <c r="H15" s="13"/>
      <c r="I15" s="13"/>
      <c r="J15" s="13"/>
      <c r="K15" s="14"/>
    </row>
    <row r="16" spans="1:11" ht="23.25" x14ac:dyDescent="0.35">
      <c r="A16" s="21"/>
      <c r="B16" s="8" t="s">
        <v>6</v>
      </c>
      <c r="C16" s="8" t="s">
        <v>1</v>
      </c>
      <c r="D16" s="8" t="s">
        <v>0</v>
      </c>
      <c r="E16" s="8" t="s">
        <v>9</v>
      </c>
      <c r="F16" s="8" t="s">
        <v>15</v>
      </c>
      <c r="G16" s="8" t="s">
        <v>8</v>
      </c>
      <c r="H16" s="8" t="s">
        <v>16</v>
      </c>
      <c r="I16" s="26" t="s">
        <v>16</v>
      </c>
      <c r="J16" s="27"/>
      <c r="K16" s="8" t="s">
        <v>20</v>
      </c>
    </row>
    <row r="17" spans="1:11" ht="23.25" x14ac:dyDescent="0.35">
      <c r="A17" s="22"/>
      <c r="B17" s="3">
        <v>7.5</v>
      </c>
      <c r="C17" s="3">
        <v>52.22</v>
      </c>
      <c r="D17" s="3">
        <v>63</v>
      </c>
      <c r="E17" s="3">
        <v>68</v>
      </c>
      <c r="F17" s="3">
        <v>16</v>
      </c>
      <c r="G17" s="3">
        <v>2.4</v>
      </c>
      <c r="H17" s="5">
        <f t="shared" si="2"/>
        <v>0.79896599999999995</v>
      </c>
      <c r="I17" s="15" t="s">
        <v>4</v>
      </c>
      <c r="J17" s="16"/>
      <c r="K17" s="5">
        <f>(H17/400)*100</f>
        <v>0.19974149999999999</v>
      </c>
    </row>
    <row r="18" spans="1:1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ht="23.25" x14ac:dyDescent="0.35">
      <c r="A20" s="20" t="s">
        <v>7</v>
      </c>
      <c r="B20" s="9" t="s">
        <v>24</v>
      </c>
      <c r="C20" s="9" t="s">
        <v>1</v>
      </c>
      <c r="D20" s="9" t="s">
        <v>0</v>
      </c>
      <c r="E20" s="9" t="s">
        <v>9</v>
      </c>
      <c r="F20" s="9" t="s">
        <v>15</v>
      </c>
      <c r="G20" s="9" t="s">
        <v>8</v>
      </c>
      <c r="H20" s="9" t="s">
        <v>16</v>
      </c>
      <c r="I20" s="17" t="s">
        <v>16</v>
      </c>
      <c r="J20" s="18"/>
      <c r="K20" s="9" t="s">
        <v>20</v>
      </c>
    </row>
    <row r="21" spans="1:11" ht="23.25" x14ac:dyDescent="0.35">
      <c r="A21" s="22"/>
      <c r="B21" s="3">
        <v>10.3</v>
      </c>
      <c r="C21" s="3">
        <v>120.58</v>
      </c>
      <c r="D21" s="3">
        <v>125</v>
      </c>
      <c r="E21" s="3">
        <v>134</v>
      </c>
      <c r="F21" s="3">
        <v>50</v>
      </c>
      <c r="G21" s="3">
        <v>0.85</v>
      </c>
      <c r="H21" s="5">
        <f t="shared" si="2"/>
        <v>0.89732621500000009</v>
      </c>
      <c r="I21" s="15" t="s">
        <v>2</v>
      </c>
      <c r="J21" s="16"/>
      <c r="K21" s="5">
        <f>(H21/400)*100</f>
        <v>0.22433155375000002</v>
      </c>
    </row>
    <row r="23" spans="1:11" ht="23.25" x14ac:dyDescent="0.35">
      <c r="G23" s="2" t="s">
        <v>19</v>
      </c>
    </row>
  </sheetData>
  <mergeCells count="14">
    <mergeCell ref="I21:J21"/>
    <mergeCell ref="I20:J20"/>
    <mergeCell ref="A2:K2"/>
    <mergeCell ref="A10:A17"/>
    <mergeCell ref="A20:A21"/>
    <mergeCell ref="A8:K9"/>
    <mergeCell ref="A18:K19"/>
    <mergeCell ref="A3:K3"/>
    <mergeCell ref="I16:J16"/>
    <mergeCell ref="I17:J17"/>
    <mergeCell ref="I11:J11"/>
    <mergeCell ref="I10:J10"/>
    <mergeCell ref="I13:J13"/>
    <mergeCell ref="I14:J14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Muath Bawazir</dc:creator>
  <cp:lastModifiedBy>ADEL HUSHAM MOHAMEDAIN YOUSUF</cp:lastModifiedBy>
  <cp:lastPrinted>2026-06-16T16:00:52Z</cp:lastPrinted>
  <dcterms:created xsi:type="dcterms:W3CDTF">2026-06-08T11:09:51Z</dcterms:created>
  <dcterms:modified xsi:type="dcterms:W3CDTF">2026-06-16T16:00:57Z</dcterms:modified>
</cp:coreProperties>
</file>