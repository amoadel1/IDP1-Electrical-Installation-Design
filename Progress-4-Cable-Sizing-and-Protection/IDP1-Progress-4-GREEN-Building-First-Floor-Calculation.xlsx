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4/ALTAYEB/"/>
    </mc:Choice>
  </mc:AlternateContent>
  <xr:revisionPtr revIDLastSave="14" documentId="13_ncr:1_{7481F349-17ED-4833-B6DD-FC5BFAFC7F6B}" xr6:coauthVersionLast="47" xr6:coauthVersionMax="47" xr10:uidLastSave="{B94808E4-CAC8-4617-910E-2C568209BEFD}"/>
  <bookViews>
    <workbookView xWindow="-120" yWindow="-120" windowWidth="29040" windowHeight="15720" xr2:uid="{A05A1EBC-B1BE-48A5-9011-38E3D02D845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H17" i="1"/>
  <c r="K17" i="1"/>
  <c r="H14" i="1"/>
  <c r="K14" i="1"/>
  <c r="K11" i="1"/>
  <c r="K5" i="1"/>
  <c r="K6" i="1"/>
  <c r="K7" i="1"/>
</calcChain>
</file>

<file path=xl/sharedStrings.xml><?xml version="1.0" encoding="utf-8"?>
<sst xmlns="http://schemas.openxmlformats.org/spreadsheetml/2006/main" count="61" uniqueCount="27">
  <si>
    <t>In</t>
  </si>
  <si>
    <t>Ib</t>
  </si>
  <si>
    <t>less 1.5%</t>
  </si>
  <si>
    <t>Distance from DB (L&amp;F)</t>
  </si>
  <si>
    <t>less 1%</t>
  </si>
  <si>
    <t>Distance from DB (AC)</t>
  </si>
  <si>
    <t>Distance from DB (P)</t>
  </si>
  <si>
    <t>MSB to SSB1</t>
  </si>
  <si>
    <t>Table (4D1B)</t>
  </si>
  <si>
    <t>Iz</t>
  </si>
  <si>
    <t>Farest Load Distance</t>
  </si>
  <si>
    <t>DB Type</t>
  </si>
  <si>
    <t>DB Lighting</t>
  </si>
  <si>
    <t>DB AC</t>
  </si>
  <si>
    <t>DB POWER</t>
  </si>
  <si>
    <t>Cable Size</t>
  </si>
  <si>
    <t>Vd</t>
  </si>
  <si>
    <t>Vd% 1ph</t>
  </si>
  <si>
    <t>JKR</t>
  </si>
  <si>
    <t>Ib&lt;= In &lt;= Iz</t>
  </si>
  <si>
    <t>Vd% 3ph</t>
  </si>
  <si>
    <t>Less 1.5%</t>
  </si>
  <si>
    <t>Less 1%</t>
  </si>
  <si>
    <t>SSB</t>
  </si>
  <si>
    <t>Distance From SSB</t>
  </si>
  <si>
    <t>Table (4E1B)</t>
  </si>
  <si>
    <t>GREEN BUILDING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</si>
</sst>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10" fontId="1" fillId="0" borderId="7" xfId="0" applyNumberFormat="1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144A-D53D-4411-86F2-D73F4CCA8F74}">
  <dimension ref="A1:K23"/>
  <sheetViews>
    <sheetView tabSelected="1" zoomScaleNormal="100" workbookViewId="0">
      <selection activeCell="A2" sqref="A2:K2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9" width="7.42578125" bestFit="1" customWidth="1"/>
    <col min="10" max="10" width="15.7109375" bestFit="1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26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4.25" customHeight="1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 t="s">
        <v>18</v>
      </c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45</v>
      </c>
      <c r="C5" s="4">
        <v>1.375</v>
      </c>
      <c r="D5" s="4">
        <v>6</v>
      </c>
      <c r="E5" s="4">
        <v>17.5</v>
      </c>
      <c r="F5" s="4">
        <v>1.5</v>
      </c>
      <c r="G5" s="4">
        <v>29</v>
      </c>
      <c r="H5" s="6">
        <v>1.5249999999999999</v>
      </c>
      <c r="I5" s="13"/>
      <c r="J5" s="7" t="s">
        <v>21</v>
      </c>
      <c r="K5" s="6">
        <f t="shared" ref="K5:K6" si="0">(H5/230)*100</f>
        <v>0.66304347826086951</v>
      </c>
    </row>
    <row r="6" spans="1:11" ht="23.25" x14ac:dyDescent="0.35">
      <c r="A6" s="8" t="s">
        <v>13</v>
      </c>
      <c r="B6" s="4">
        <v>46</v>
      </c>
      <c r="C6" s="4">
        <v>8.85</v>
      </c>
      <c r="D6" s="4">
        <v>32</v>
      </c>
      <c r="E6" s="4">
        <v>41</v>
      </c>
      <c r="F6" s="4">
        <v>6</v>
      </c>
      <c r="G6" s="4">
        <v>7.3</v>
      </c>
      <c r="H6" s="6">
        <v>2.52</v>
      </c>
      <c r="I6" s="13"/>
      <c r="J6" s="7" t="s">
        <v>21</v>
      </c>
      <c r="K6" s="6">
        <f t="shared" si="0"/>
        <v>1.0956521739130434</v>
      </c>
    </row>
    <row r="7" spans="1:11" ht="23.25" x14ac:dyDescent="0.35">
      <c r="A7" s="8" t="s">
        <v>14</v>
      </c>
      <c r="B7" s="4">
        <v>46.6</v>
      </c>
      <c r="C7" s="4">
        <v>5.12</v>
      </c>
      <c r="D7" s="4">
        <v>32</v>
      </c>
      <c r="E7" s="4">
        <v>32</v>
      </c>
      <c r="F7" s="4">
        <v>4</v>
      </c>
      <c r="G7" s="4">
        <v>11</v>
      </c>
      <c r="H7" s="6">
        <v>2.2307999999999999</v>
      </c>
      <c r="I7" s="14"/>
      <c r="J7" s="7" t="s">
        <v>21</v>
      </c>
      <c r="K7" s="6">
        <f>(H7/230)*100</f>
        <v>0.96991304347826079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0" t="s">
        <v>16</v>
      </c>
      <c r="J10" s="21"/>
      <c r="K10" s="9" t="s">
        <v>20</v>
      </c>
    </row>
    <row r="11" spans="1:11" ht="23.25" x14ac:dyDescent="0.35">
      <c r="A11" s="24"/>
      <c r="B11" s="4">
        <v>7.5</v>
      </c>
      <c r="C11" s="4">
        <v>10.74</v>
      </c>
      <c r="D11" s="4">
        <v>20</v>
      </c>
      <c r="E11" s="4">
        <v>21</v>
      </c>
      <c r="F11" s="4">
        <v>2.5</v>
      </c>
      <c r="G11" s="4">
        <v>15</v>
      </c>
      <c r="H11" s="6">
        <v>1.0269999999999999</v>
      </c>
      <c r="I11" s="18" t="s">
        <v>22</v>
      </c>
      <c r="J11" s="19"/>
      <c r="K11" s="6">
        <f>(H11/400)*100</f>
        <v>0.25674999999999998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0" t="s">
        <v>16</v>
      </c>
      <c r="J13" s="21"/>
      <c r="K13" s="9" t="s">
        <v>20</v>
      </c>
    </row>
    <row r="14" spans="1:11" ht="23.25" x14ac:dyDescent="0.35">
      <c r="A14" s="24"/>
      <c r="B14" s="4">
        <v>7</v>
      </c>
      <c r="C14" s="4">
        <v>43.37</v>
      </c>
      <c r="D14" s="4">
        <v>50</v>
      </c>
      <c r="E14" s="4">
        <v>50</v>
      </c>
      <c r="F14" s="4">
        <v>10</v>
      </c>
      <c r="G14" s="4">
        <v>3.8</v>
      </c>
      <c r="H14" s="6">
        <f t="shared" ref="H14:H21" si="1">(G14*B14*C14*0.85)/1000</f>
        <v>0.98059569999999985</v>
      </c>
      <c r="I14" s="18" t="s">
        <v>4</v>
      </c>
      <c r="J14" s="19"/>
      <c r="K14" s="6">
        <f>(H14/400)*100</f>
        <v>0.24514892499999996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0" t="s">
        <v>16</v>
      </c>
      <c r="J16" s="21"/>
      <c r="K16" s="9" t="s">
        <v>20</v>
      </c>
    </row>
    <row r="17" spans="1:11" ht="23.25" x14ac:dyDescent="0.35">
      <c r="A17" s="25"/>
      <c r="B17" s="4">
        <v>6.5</v>
      </c>
      <c r="C17" s="4">
        <v>35.65</v>
      </c>
      <c r="D17" s="4">
        <v>40</v>
      </c>
      <c r="E17" s="4">
        <v>50</v>
      </c>
      <c r="F17" s="4">
        <v>10</v>
      </c>
      <c r="G17" s="4">
        <v>3.8</v>
      </c>
      <c r="H17" s="6">
        <f t="shared" si="1"/>
        <v>0.74847174999999988</v>
      </c>
      <c r="I17" s="18" t="s">
        <v>4</v>
      </c>
      <c r="J17" s="19"/>
      <c r="K17" s="6">
        <f>(H17/400)*100</f>
        <v>0.18711793749999997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1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25</v>
      </c>
      <c r="H20" s="10" t="s">
        <v>16</v>
      </c>
      <c r="I20" s="29" t="s">
        <v>16</v>
      </c>
      <c r="J20" s="30"/>
      <c r="K20" s="10" t="s">
        <v>20</v>
      </c>
    </row>
    <row r="21" spans="1:11" ht="23.25" x14ac:dyDescent="0.35">
      <c r="A21" s="25"/>
      <c r="B21" s="2">
        <v>30.3</v>
      </c>
      <c r="C21" s="2">
        <v>90.69</v>
      </c>
      <c r="D21" s="2">
        <v>100</v>
      </c>
      <c r="E21" s="2">
        <v>117</v>
      </c>
      <c r="F21" s="2">
        <v>25</v>
      </c>
      <c r="G21" s="2">
        <v>1.65</v>
      </c>
      <c r="H21" s="3">
        <f t="shared" si="1"/>
        <v>3.8539395674999999</v>
      </c>
      <c r="I21" s="18" t="s">
        <v>2</v>
      </c>
      <c r="J21" s="19"/>
      <c r="K21" s="6">
        <f>(H21/400)*100</f>
        <v>0.96348489187499997</v>
      </c>
    </row>
    <row r="23" spans="1:11" ht="23.25" x14ac:dyDescent="0.35">
      <c r="G23" s="2" t="s">
        <v>19</v>
      </c>
    </row>
  </sheetData>
  <mergeCells count="14">
    <mergeCell ref="I11:J11"/>
    <mergeCell ref="I10:J10"/>
    <mergeCell ref="A2:K2"/>
    <mergeCell ref="A10:A17"/>
    <mergeCell ref="A20:A21"/>
    <mergeCell ref="A8:K9"/>
    <mergeCell ref="A18:K19"/>
    <mergeCell ref="A3:K3"/>
    <mergeCell ref="I21:J21"/>
    <mergeCell ref="I20:J20"/>
    <mergeCell ref="I17:J17"/>
    <mergeCell ref="I16:J16"/>
    <mergeCell ref="I14:J14"/>
    <mergeCell ref="I13:J13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Muath Bawazir</dc:creator>
  <cp:lastModifiedBy>ADEL HUSHAM MOHAMEDAIN YOUSUF</cp:lastModifiedBy>
  <cp:lastPrinted>2026-06-16T15:57:39Z</cp:lastPrinted>
  <dcterms:created xsi:type="dcterms:W3CDTF">2026-06-08T11:09:51Z</dcterms:created>
  <dcterms:modified xsi:type="dcterms:W3CDTF">2026-06-19T19:21:06Z</dcterms:modified>
</cp:coreProperties>
</file>