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4/ME/"/>
    </mc:Choice>
  </mc:AlternateContent>
  <xr:revisionPtr revIDLastSave="0" documentId="8_{BE6B97D5-D37E-4D22-9A46-A863CEE6DAE5}" xr6:coauthVersionLast="47" xr6:coauthVersionMax="47" xr10:uidLastSave="{00000000-0000-0000-0000-000000000000}"/>
  <bookViews>
    <workbookView xWindow="-120" yWindow="-120" windowWidth="29040" windowHeight="15720" activeTab="4" xr2:uid="{A05A1EBC-B1BE-48A5-9011-38E3D02D8457}"/>
  </bookViews>
  <sheets>
    <sheet name="GREEN - GROUND" sheetId="1" r:id="rId1"/>
    <sheet name="GREEN - LEVEL 1" sheetId="2" r:id="rId2"/>
    <sheet name="GREEN - LEVEL 2 &amp; ROOF" sheetId="3" r:id="rId3"/>
    <sheet name="HEBA - LEVEL 1 &amp; TNB TO MSB" sheetId="4" r:id="rId4"/>
    <sheet name="HEBA - LEVEL 2 &amp; ROOF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5" l="1"/>
  <c r="K21" i="5"/>
  <c r="H17" i="5"/>
  <c r="K17" i="5"/>
  <c r="H14" i="5"/>
  <c r="K14" i="5"/>
  <c r="H11" i="5"/>
  <c r="K11" i="5"/>
  <c r="H7" i="5"/>
  <c r="K7" i="5"/>
  <c r="H6" i="5"/>
  <c r="K6" i="5"/>
  <c r="H5" i="5"/>
  <c r="K5" i="5"/>
  <c r="H26" i="4"/>
  <c r="K26" i="4"/>
  <c r="H21" i="4"/>
  <c r="K21" i="4"/>
  <c r="H17" i="4"/>
  <c r="K17" i="4"/>
  <c r="H14" i="4"/>
  <c r="K14" i="4"/>
  <c r="H11" i="4"/>
  <c r="K11" i="4"/>
  <c r="H7" i="4"/>
  <c r="K7" i="4"/>
  <c r="H6" i="4"/>
  <c r="K6" i="4"/>
  <c r="H5" i="4"/>
  <c r="K5" i="4"/>
  <c r="H21" i="3"/>
  <c r="K21" i="3"/>
  <c r="H17" i="3"/>
  <c r="K17" i="3"/>
  <c r="H14" i="3"/>
  <c r="K14" i="3"/>
  <c r="H11" i="3"/>
  <c r="K11" i="3"/>
  <c r="H7" i="3"/>
  <c r="K7" i="3"/>
  <c r="H6" i="3"/>
  <c r="K6" i="3"/>
  <c r="H5" i="3"/>
  <c r="K5" i="3"/>
  <c r="H21" i="2"/>
  <c r="K21" i="2"/>
  <c r="H17" i="2"/>
  <c r="K17" i="2"/>
  <c r="H14" i="2"/>
  <c r="K14" i="2"/>
  <c r="K11" i="2"/>
  <c r="K7" i="2"/>
  <c r="K6" i="2"/>
  <c r="K5" i="2"/>
  <c r="H21" i="1"/>
  <c r="K21" i="1"/>
  <c r="H17" i="1"/>
  <c r="K17" i="1"/>
  <c r="H14" i="1"/>
  <c r="K14" i="1"/>
  <c r="H11" i="1"/>
  <c r="K11" i="1"/>
  <c r="H5" i="1"/>
  <c r="K5" i="1"/>
  <c r="H6" i="1"/>
  <c r="K6" i="1"/>
  <c r="H7" i="1"/>
  <c r="K7" i="1"/>
</calcChain>
</file>

<file path=xl/sharedStrings.xml><?xml version="1.0" encoding="utf-8"?>
<sst xmlns="http://schemas.openxmlformats.org/spreadsheetml/2006/main" count="316" uniqueCount="34">
  <si>
    <t>In</t>
  </si>
  <si>
    <t>Ib</t>
  </si>
  <si>
    <t>less 1.5%</t>
  </si>
  <si>
    <t>Distance from DB (L&amp;F)</t>
  </si>
  <si>
    <t>less 1%</t>
  </si>
  <si>
    <t>Distance from DB (AC)</t>
  </si>
  <si>
    <t>Distance from DB (P)</t>
  </si>
  <si>
    <t>MSB to SSB1</t>
  </si>
  <si>
    <t>Table (4D1B)</t>
  </si>
  <si>
    <t>Iz</t>
  </si>
  <si>
    <t>Farest Load Distance</t>
  </si>
  <si>
    <t>DB Type</t>
  </si>
  <si>
    <t>DB Lighting</t>
  </si>
  <si>
    <t>DB AC</t>
  </si>
  <si>
    <t>DB POWER</t>
  </si>
  <si>
    <t>Cable Size</t>
  </si>
  <si>
    <t>Vd</t>
  </si>
  <si>
    <t>Vd% 1ph</t>
  </si>
  <si>
    <t>JKR</t>
  </si>
  <si>
    <t>Ib&lt;= In &lt;= Iz</t>
  </si>
  <si>
    <t>Vd% 3ph</t>
  </si>
  <si>
    <t>Less 1.5%</t>
  </si>
  <si>
    <t>Less 1%</t>
  </si>
  <si>
    <t>SSB</t>
  </si>
  <si>
    <t>Distance From SSB</t>
  </si>
  <si>
    <t>GREEN BUILDING - GROUND FLOOR</t>
  </si>
  <si>
    <t>Table (4E1B)</t>
  </si>
  <si>
    <t>GREEN BUILDING - LEVEL 1</t>
  </si>
  <si>
    <t>GREEN BUILDING - LEVEL 2 &amp; ROOF</t>
  </si>
  <si>
    <t>HEPA BUILDING - LEVEL 1</t>
  </si>
  <si>
    <t xml:space="preserve">TNB to MSB </t>
  </si>
  <si>
    <t>Distance From MSB</t>
  </si>
  <si>
    <t>not included in 4%</t>
  </si>
  <si>
    <t>HEPA BUILDING -  LEVEL 2 &amp;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</si>
</sst>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K23"/>
  <sheetViews>
    <sheetView zoomScale="115" zoomScaleNormal="115" workbookViewId="0">
      <selection activeCell="L15" sqref="L15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9" width="7.42578125" bestFit="1" customWidth="1"/>
    <col min="10" max="10" width="20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4.2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48.6</v>
      </c>
      <c r="C5" s="4">
        <v>2.75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3.2944725000000004</v>
      </c>
      <c r="I5" s="13"/>
      <c r="J5" s="7" t="s">
        <v>21</v>
      </c>
      <c r="K5" s="6">
        <f t="shared" ref="K5:K6" si="1">(H5/230)*100</f>
        <v>1.4323793478260871</v>
      </c>
    </row>
    <row r="6" spans="1:11" ht="23.25" x14ac:dyDescent="0.35">
      <c r="A6" s="8" t="s">
        <v>13</v>
      </c>
      <c r="B6" s="4">
        <v>41</v>
      </c>
      <c r="C6" s="4">
        <v>5.5750000000000002</v>
      </c>
      <c r="D6" s="4">
        <v>32</v>
      </c>
      <c r="E6" s="4">
        <v>32</v>
      </c>
      <c r="F6" s="4">
        <v>4</v>
      </c>
      <c r="G6" s="4">
        <v>11</v>
      </c>
      <c r="H6" s="6">
        <f t="shared" si="0"/>
        <v>2.13717625</v>
      </c>
      <c r="I6" s="13"/>
      <c r="J6" s="7" t="s">
        <v>21</v>
      </c>
      <c r="K6" s="6">
        <f t="shared" si="1"/>
        <v>0.92920706521739138</v>
      </c>
    </row>
    <row r="7" spans="1:11" ht="23.25" x14ac:dyDescent="0.35">
      <c r="A7" s="8" t="s">
        <v>14</v>
      </c>
      <c r="B7" s="4">
        <v>44</v>
      </c>
      <c r="C7" s="4">
        <v>4.5999999999999996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1.8924399999999997</v>
      </c>
      <c r="I7" s="14"/>
      <c r="J7" s="7" t="s">
        <v>21</v>
      </c>
      <c r="K7" s="6">
        <f>(H7/230)*100</f>
        <v>0.82279999999999998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15.72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1.3027950000000001</v>
      </c>
      <c r="I11" s="20" t="s">
        <v>22</v>
      </c>
      <c r="J11" s="21"/>
      <c r="K11" s="6">
        <f>(H11/400)*100</f>
        <v>0.32569875000000004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44.83</v>
      </c>
      <c r="D14" s="4">
        <v>50</v>
      </c>
      <c r="E14" s="4">
        <v>50</v>
      </c>
      <c r="F14" s="4">
        <v>10</v>
      </c>
      <c r="G14" s="4">
        <v>3.8</v>
      </c>
      <c r="H14" s="6">
        <f t="shared" ref="H14:H21" si="2">(G14*B14*C14*0.85)/1000</f>
        <v>1.0136062999999997</v>
      </c>
      <c r="I14" s="20" t="s">
        <v>4</v>
      </c>
      <c r="J14" s="21"/>
      <c r="K14" s="6">
        <f>(H14/400)*100</f>
        <v>0.25340157499999993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44.299700000000001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0.67778541000000003</v>
      </c>
      <c r="I17" s="20" t="s">
        <v>4</v>
      </c>
      <c r="J17" s="21"/>
      <c r="K17" s="6">
        <f>(H17/400)*100</f>
        <v>0.16944635250000001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30.5</v>
      </c>
      <c r="C21" s="2">
        <v>104.85</v>
      </c>
      <c r="D21" s="2">
        <v>100</v>
      </c>
      <c r="E21" s="2">
        <v>117</v>
      </c>
      <c r="F21" s="2">
        <v>25</v>
      </c>
      <c r="G21" s="2">
        <v>1.65</v>
      </c>
      <c r="H21" s="3">
        <f t="shared" si="2"/>
        <v>4.4850898124999992</v>
      </c>
      <c r="I21" s="20" t="s">
        <v>2</v>
      </c>
      <c r="J21" s="21"/>
      <c r="K21" s="6">
        <f>(H21/400)*100</f>
        <v>1.1212724531249998</v>
      </c>
    </row>
    <row r="23" spans="1:11" ht="23.25" x14ac:dyDescent="0.35">
      <c r="G23" s="2" t="s">
        <v>19</v>
      </c>
    </row>
  </sheetData>
  <mergeCells count="14">
    <mergeCell ref="I20:J20"/>
    <mergeCell ref="I21:J21"/>
    <mergeCell ref="A2:K2"/>
    <mergeCell ref="A10:A17"/>
    <mergeCell ref="A20:A21"/>
    <mergeCell ref="A8:K9"/>
    <mergeCell ref="A18:K19"/>
    <mergeCell ref="A3:K3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BDD-7218-4065-8102-DAFD3B981529}">
  <dimension ref="A1:K23"/>
  <sheetViews>
    <sheetView workbookViewId="0">
      <selection activeCell="B25" sqref="B25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9" width="7.42578125" bestFit="1" customWidth="1"/>
    <col min="10" max="10" width="15.71093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45</v>
      </c>
      <c r="C5" s="4">
        <v>1.375</v>
      </c>
      <c r="D5" s="4">
        <v>6</v>
      </c>
      <c r="E5" s="4">
        <v>17.5</v>
      </c>
      <c r="F5" s="4">
        <v>1.5</v>
      </c>
      <c r="G5" s="4">
        <v>29</v>
      </c>
      <c r="H5" s="6">
        <v>1.5249999999999999</v>
      </c>
      <c r="I5" s="13"/>
      <c r="J5" s="7" t="s">
        <v>21</v>
      </c>
      <c r="K5" s="6">
        <f t="shared" ref="K5:K6" si="0">(H5/230)*100</f>
        <v>0.66304347826086951</v>
      </c>
    </row>
    <row r="6" spans="1:11" ht="23.25" x14ac:dyDescent="0.35">
      <c r="A6" s="8" t="s">
        <v>13</v>
      </c>
      <c r="B6" s="4">
        <v>46</v>
      </c>
      <c r="C6" s="4">
        <v>8.85</v>
      </c>
      <c r="D6" s="4">
        <v>32</v>
      </c>
      <c r="E6" s="4">
        <v>41</v>
      </c>
      <c r="F6" s="4">
        <v>6</v>
      </c>
      <c r="G6" s="4">
        <v>7.3</v>
      </c>
      <c r="H6" s="6">
        <v>2.52</v>
      </c>
      <c r="I6" s="13"/>
      <c r="J6" s="7" t="s">
        <v>21</v>
      </c>
      <c r="K6" s="6">
        <f t="shared" si="0"/>
        <v>1.0956521739130434</v>
      </c>
    </row>
    <row r="7" spans="1:11" ht="23.25" x14ac:dyDescent="0.35">
      <c r="A7" s="8" t="s">
        <v>14</v>
      </c>
      <c r="B7" s="4">
        <v>46.6</v>
      </c>
      <c r="C7" s="4">
        <v>5.12</v>
      </c>
      <c r="D7" s="4">
        <v>32</v>
      </c>
      <c r="E7" s="4">
        <v>32</v>
      </c>
      <c r="F7" s="4">
        <v>4</v>
      </c>
      <c r="G7" s="4">
        <v>11</v>
      </c>
      <c r="H7" s="6">
        <v>2.2307999999999999</v>
      </c>
      <c r="I7" s="14"/>
      <c r="J7" s="7" t="s">
        <v>21</v>
      </c>
      <c r="K7" s="6">
        <f>(H7/230)*100</f>
        <v>0.96991304347826079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7.5</v>
      </c>
      <c r="C11" s="4">
        <v>10.74</v>
      </c>
      <c r="D11" s="4">
        <v>20</v>
      </c>
      <c r="E11" s="4">
        <v>21</v>
      </c>
      <c r="F11" s="4">
        <v>2.5</v>
      </c>
      <c r="G11" s="4">
        <v>15</v>
      </c>
      <c r="H11" s="6">
        <v>1.0269999999999999</v>
      </c>
      <c r="I11" s="20" t="s">
        <v>22</v>
      </c>
      <c r="J11" s="21"/>
      <c r="K11" s="6">
        <f>(H11/400)*100</f>
        <v>0.25674999999999998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43.37</v>
      </c>
      <c r="D14" s="4">
        <v>50</v>
      </c>
      <c r="E14" s="4">
        <v>50</v>
      </c>
      <c r="F14" s="4">
        <v>10</v>
      </c>
      <c r="G14" s="4">
        <v>3.8</v>
      </c>
      <c r="H14" s="6">
        <f t="shared" ref="H14:H21" si="1">(G14*B14*C14*0.85)/1000</f>
        <v>0.98059569999999985</v>
      </c>
      <c r="I14" s="20" t="s">
        <v>4</v>
      </c>
      <c r="J14" s="21"/>
      <c r="K14" s="6">
        <f>(H14/400)*100</f>
        <v>0.24514892499999996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6.5</v>
      </c>
      <c r="C17" s="4">
        <v>35.65</v>
      </c>
      <c r="D17" s="4">
        <v>40</v>
      </c>
      <c r="E17" s="4">
        <v>50</v>
      </c>
      <c r="F17" s="4">
        <v>10</v>
      </c>
      <c r="G17" s="4">
        <v>3.8</v>
      </c>
      <c r="H17" s="6">
        <f t="shared" si="1"/>
        <v>0.74847174999999988</v>
      </c>
      <c r="I17" s="20" t="s">
        <v>4</v>
      </c>
      <c r="J17" s="21"/>
      <c r="K17" s="6">
        <f>(H17/400)*100</f>
        <v>0.18711793749999997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30.3</v>
      </c>
      <c r="C21" s="2">
        <v>90.69</v>
      </c>
      <c r="D21" s="2">
        <v>100</v>
      </c>
      <c r="E21" s="2">
        <v>117</v>
      </c>
      <c r="F21" s="2">
        <v>25</v>
      </c>
      <c r="G21" s="2">
        <v>1.65</v>
      </c>
      <c r="H21" s="3">
        <f t="shared" si="1"/>
        <v>3.8539395674999999</v>
      </c>
      <c r="I21" s="20" t="s">
        <v>2</v>
      </c>
      <c r="J21" s="21"/>
      <c r="K21" s="6">
        <f>(H21/400)*100</f>
        <v>0.96348489187499997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626-362E-4FA6-B889-2907415AEB05}">
  <dimension ref="A1:K23"/>
  <sheetViews>
    <sheetView workbookViewId="0">
      <selection activeCell="N16" sqref="N16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8.85546875" customWidth="1"/>
    <col min="9" max="9" width="7.42578125" bestFit="1" customWidth="1"/>
    <col min="10" max="10" width="15.855468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33.36</v>
      </c>
      <c r="C5" s="4">
        <v>2.4060000000000001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1.9785115440000001</v>
      </c>
      <c r="I5" s="13"/>
      <c r="J5" s="7" t="s">
        <v>21</v>
      </c>
      <c r="K5" s="6">
        <f t="shared" ref="K5:K6" si="1">(H5/230)*100</f>
        <v>0.86022241043478254</v>
      </c>
    </row>
    <row r="6" spans="1:11" ht="23.25" x14ac:dyDescent="0.35">
      <c r="A6" s="8" t="s">
        <v>13</v>
      </c>
      <c r="B6" s="4">
        <v>30</v>
      </c>
      <c r="C6" s="4">
        <v>5.5750000000000002</v>
      </c>
      <c r="D6" s="4">
        <v>32</v>
      </c>
      <c r="E6" s="4">
        <v>32</v>
      </c>
      <c r="F6" s="4">
        <v>4</v>
      </c>
      <c r="G6" s="4">
        <v>11</v>
      </c>
      <c r="H6" s="6">
        <f t="shared" si="0"/>
        <v>1.5637874999999999</v>
      </c>
      <c r="I6" s="13"/>
      <c r="J6" s="7" t="s">
        <v>21</v>
      </c>
      <c r="K6" s="6">
        <f t="shared" si="1"/>
        <v>0.67990760869565214</v>
      </c>
    </row>
    <row r="7" spans="1:11" ht="23.25" x14ac:dyDescent="0.35">
      <c r="A7" s="8" t="s">
        <v>14</v>
      </c>
      <c r="B7" s="4">
        <v>40.299999999999997</v>
      </c>
      <c r="C7" s="4">
        <v>4.0999999999999996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1.5449004999999998</v>
      </c>
      <c r="I7" s="14"/>
      <c r="J7" s="7" t="s">
        <v>21</v>
      </c>
      <c r="K7" s="6">
        <f>(H7/230)*100</f>
        <v>0.67169586956521732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7.5</v>
      </c>
      <c r="C11" s="4">
        <v>11.56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1.1054249999999999</v>
      </c>
      <c r="I11" s="20" t="s">
        <v>22</v>
      </c>
      <c r="J11" s="21"/>
      <c r="K11" s="6">
        <f>(H11/400)*100</f>
        <v>0.27635624999999997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32.823999999999998</v>
      </c>
      <c r="D14" s="4">
        <v>40</v>
      </c>
      <c r="E14" s="4">
        <v>50</v>
      </c>
      <c r="F14" s="4">
        <v>10</v>
      </c>
      <c r="G14" s="4">
        <v>3.8</v>
      </c>
      <c r="H14" s="6">
        <f t="shared" ref="H14:H21" si="2">(G14*B14*C14*0.85)/1000</f>
        <v>0.74215063999999986</v>
      </c>
      <c r="I14" s="20" t="s">
        <v>4</v>
      </c>
      <c r="J14" s="21"/>
      <c r="K14" s="6">
        <f>(H14/400)*100</f>
        <v>0.18553765999999997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6.5</v>
      </c>
      <c r="C17" s="4">
        <v>35.659999999999997</v>
      </c>
      <c r="D17" s="4">
        <v>40</v>
      </c>
      <c r="E17" s="4">
        <v>50</v>
      </c>
      <c r="F17" s="4">
        <v>10</v>
      </c>
      <c r="G17" s="4">
        <v>3.8</v>
      </c>
      <c r="H17" s="6">
        <f t="shared" si="2"/>
        <v>0.74868169999999989</v>
      </c>
      <c r="I17" s="20" t="s">
        <v>4</v>
      </c>
      <c r="J17" s="21"/>
      <c r="K17" s="6">
        <f>(H17/400)*100</f>
        <v>0.18717042499999997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34.1</v>
      </c>
      <c r="C21" s="2">
        <v>96.69</v>
      </c>
      <c r="D21" s="2">
        <v>100</v>
      </c>
      <c r="E21" s="2">
        <v>117</v>
      </c>
      <c r="F21" s="2">
        <v>25</v>
      </c>
      <c r="G21" s="2">
        <v>4.63</v>
      </c>
      <c r="H21" s="3">
        <f t="shared" si="2"/>
        <v>12.975851179499999</v>
      </c>
      <c r="I21" s="20" t="s">
        <v>2</v>
      </c>
      <c r="J21" s="21"/>
      <c r="K21" s="6">
        <f>(H21/400)*100</f>
        <v>3.2439627948750003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3CFD-12B6-42B4-9168-46B1AB42437D}">
  <dimension ref="A1:K28"/>
  <sheetViews>
    <sheetView workbookViewId="0">
      <selection activeCell="A2" sqref="A1:XFD1048576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11.140625" customWidth="1"/>
    <col min="9" max="9" width="7.42578125" bestFit="1" customWidth="1"/>
    <col min="10" max="10" width="26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/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45</v>
      </c>
      <c r="C5" s="4">
        <v>1.72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1.9079099999999998</v>
      </c>
      <c r="I5" s="13" t="s">
        <v>18</v>
      </c>
      <c r="J5" s="7" t="s">
        <v>21</v>
      </c>
      <c r="K5" s="6">
        <f t="shared" ref="K5:K6" si="1">(H5/230)*100</f>
        <v>0.82952608695652175</v>
      </c>
    </row>
    <row r="6" spans="1:11" ht="23.25" x14ac:dyDescent="0.35">
      <c r="A6" s="8" t="s">
        <v>13</v>
      </c>
      <c r="B6" s="4">
        <v>48</v>
      </c>
      <c r="C6" s="4">
        <v>8.8000000000000007</v>
      </c>
      <c r="D6" s="4">
        <v>32</v>
      </c>
      <c r="E6" s="4">
        <v>41</v>
      </c>
      <c r="F6" s="4">
        <v>6</v>
      </c>
      <c r="G6" s="4">
        <v>7.3</v>
      </c>
      <c r="H6" s="6">
        <f t="shared" si="0"/>
        <v>2.6209919999999998</v>
      </c>
      <c r="I6" s="13"/>
      <c r="J6" s="7" t="s">
        <v>21</v>
      </c>
      <c r="K6" s="6">
        <f t="shared" si="1"/>
        <v>1.1395617391304347</v>
      </c>
    </row>
    <row r="7" spans="1:11" ht="23.25" x14ac:dyDescent="0.35">
      <c r="A7" s="8" t="s">
        <v>14</v>
      </c>
      <c r="B7" s="4">
        <v>40.299999999999997</v>
      </c>
      <c r="C7" s="4">
        <v>4.0999999999999996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1.5449004999999998</v>
      </c>
      <c r="I7" s="13"/>
      <c r="J7" s="7" t="s">
        <v>21</v>
      </c>
      <c r="K7" s="6">
        <f>(H7/230)*100</f>
        <v>0.67169586956521732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21.9</v>
      </c>
      <c r="D11" s="4">
        <v>32</v>
      </c>
      <c r="E11" s="4">
        <v>36</v>
      </c>
      <c r="F11" s="4">
        <v>6</v>
      </c>
      <c r="G11" s="4">
        <v>6.4</v>
      </c>
      <c r="H11" s="6">
        <f>(G11*B11*C11*0.85)/1000</f>
        <v>0.77438399999999985</v>
      </c>
      <c r="I11" s="20" t="s">
        <v>22</v>
      </c>
      <c r="J11" s="21"/>
      <c r="K11" s="6">
        <f>(H11/400)*100</f>
        <v>0.19359599999999996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75.7</v>
      </c>
      <c r="D14" s="4">
        <v>80</v>
      </c>
      <c r="E14" s="4">
        <v>89</v>
      </c>
      <c r="F14" s="4">
        <v>25</v>
      </c>
      <c r="G14" s="4">
        <v>1.55</v>
      </c>
      <c r="H14" s="6">
        <f t="shared" ref="H14:H21" si="2">(G14*B14*C14*0.85)/1000</f>
        <v>0.69814324999999999</v>
      </c>
      <c r="I14" s="20" t="s">
        <v>4</v>
      </c>
      <c r="J14" s="21"/>
      <c r="K14" s="6">
        <f>(H14/400)*100</f>
        <v>0.1745358125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55.7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0.85221000000000002</v>
      </c>
      <c r="I17" s="20" t="s">
        <v>4</v>
      </c>
      <c r="J17" s="21"/>
      <c r="K17" s="6">
        <f>(H17/400)*100</f>
        <v>0.21305249999999998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0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8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4">
        <v>6.5</v>
      </c>
      <c r="C21" s="4">
        <v>153.15</v>
      </c>
      <c r="D21" s="4">
        <v>160</v>
      </c>
      <c r="E21" s="4">
        <v>171</v>
      </c>
      <c r="F21" s="4">
        <v>70</v>
      </c>
      <c r="G21" s="4">
        <v>0.61</v>
      </c>
      <c r="H21" s="6">
        <f t="shared" si="2"/>
        <v>0.51615378749999996</v>
      </c>
      <c r="I21" s="20" t="s">
        <v>2</v>
      </c>
      <c r="J21" s="21"/>
      <c r="K21" s="6">
        <f>(H21/400)*100</f>
        <v>0.12903844687499999</v>
      </c>
    </row>
    <row r="25" spans="1:11" ht="23.25" x14ac:dyDescent="0.35">
      <c r="A25" s="23" t="s">
        <v>30</v>
      </c>
      <c r="B25" s="31" t="s">
        <v>31</v>
      </c>
      <c r="C25" s="31" t="s">
        <v>1</v>
      </c>
      <c r="D25" s="31" t="s">
        <v>0</v>
      </c>
      <c r="E25" s="31" t="s">
        <v>9</v>
      </c>
      <c r="F25" s="31" t="s">
        <v>15</v>
      </c>
      <c r="G25" s="31" t="s">
        <v>26</v>
      </c>
      <c r="H25" s="31" t="s">
        <v>16</v>
      </c>
      <c r="I25" s="32" t="s">
        <v>16</v>
      </c>
      <c r="J25" s="33"/>
      <c r="K25" s="31" t="s">
        <v>20</v>
      </c>
    </row>
    <row r="26" spans="1:11" ht="23.25" x14ac:dyDescent="0.35">
      <c r="A26" s="25"/>
      <c r="B26" s="4">
        <v>120</v>
      </c>
      <c r="C26" s="4">
        <v>566</v>
      </c>
      <c r="D26" s="4">
        <v>630</v>
      </c>
      <c r="E26" s="4">
        <v>666</v>
      </c>
      <c r="F26" s="4">
        <v>500</v>
      </c>
      <c r="G26" s="4">
        <v>0.24</v>
      </c>
      <c r="H26" s="6">
        <f>(G26*B26*C26*0.85)/1000</f>
        <v>13.855679999999998</v>
      </c>
      <c r="I26" s="20" t="s">
        <v>32</v>
      </c>
      <c r="J26" s="21"/>
      <c r="K26" s="6">
        <f>(H26/400)*100</f>
        <v>3.4639199999999994</v>
      </c>
    </row>
    <row r="28" spans="1:11" ht="23.25" x14ac:dyDescent="0.35">
      <c r="G28" s="2" t="s">
        <v>19</v>
      </c>
    </row>
  </sheetData>
  <mergeCells count="17">
    <mergeCell ref="A18:K19"/>
    <mergeCell ref="A20:A21"/>
    <mergeCell ref="I20:J20"/>
    <mergeCell ref="I21:J21"/>
    <mergeCell ref="A25:A26"/>
    <mergeCell ref="I25:J25"/>
    <mergeCell ref="I26:J26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C1FC-E09B-412D-A65B-3CCEC63A3CA3}">
  <dimension ref="A1:K23"/>
  <sheetViews>
    <sheetView tabSelected="1" workbookViewId="0">
      <selection activeCell="M11" sqref="M11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10.42578125" bestFit="1" customWidth="1"/>
    <col min="9" max="9" width="7.42578125" bestFit="1" customWidth="1"/>
    <col min="10" max="10" width="26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/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33.200000000000003</v>
      </c>
      <c r="C5" s="4">
        <v>2.92</v>
      </c>
      <c r="D5" s="4">
        <v>6</v>
      </c>
      <c r="E5" s="4">
        <v>17.5</v>
      </c>
      <c r="F5" s="4">
        <v>1.5</v>
      </c>
      <c r="G5" s="4">
        <v>29</v>
      </c>
      <c r="H5" s="6">
        <f>(G5*B5*C5*0.85)/1000</f>
        <v>2.3896696000000004</v>
      </c>
      <c r="I5" s="13" t="s">
        <v>18</v>
      </c>
      <c r="J5" s="7" t="s">
        <v>21</v>
      </c>
      <c r="K5" s="6">
        <f t="shared" ref="K5:K6" si="0">(H5/230)*100</f>
        <v>1.0389867826086958</v>
      </c>
    </row>
    <row r="6" spans="1:11" ht="23.25" x14ac:dyDescent="0.35">
      <c r="A6" s="8" t="s">
        <v>13</v>
      </c>
      <c r="B6" s="4">
        <v>34.200000000000003</v>
      </c>
      <c r="C6" s="4">
        <v>4.3499999999999996</v>
      </c>
      <c r="D6" s="4">
        <v>32</v>
      </c>
      <c r="E6" s="4">
        <v>32</v>
      </c>
      <c r="F6" s="4">
        <v>4</v>
      </c>
      <c r="G6" s="4">
        <v>11</v>
      </c>
      <c r="H6" s="6">
        <f t="shared" ref="H6" si="1">(G6*B6*C6*0.85)/1000</f>
        <v>1.3909994999999999</v>
      </c>
      <c r="I6" s="13"/>
      <c r="J6" s="7" t="s">
        <v>21</v>
      </c>
      <c r="K6" s="6">
        <f t="shared" si="0"/>
        <v>0.60478239130434785</v>
      </c>
    </row>
    <row r="7" spans="1:11" ht="23.25" x14ac:dyDescent="0.35">
      <c r="A7" s="8" t="s">
        <v>14</v>
      </c>
      <c r="B7" s="4">
        <v>34.5</v>
      </c>
      <c r="C7" s="4">
        <v>5.12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1.6515839999999999</v>
      </c>
      <c r="I7" s="13"/>
      <c r="J7" s="7" t="s">
        <v>21</v>
      </c>
      <c r="K7" s="6">
        <f>(H7/230)*100</f>
        <v>0.71807999999999994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15.6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1.2928499999999998</v>
      </c>
      <c r="I11" s="20" t="s">
        <v>22</v>
      </c>
      <c r="J11" s="21"/>
      <c r="K11" s="6">
        <f>(H11/400)*100</f>
        <v>0.32321249999999996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52.82</v>
      </c>
      <c r="D14" s="4">
        <v>63</v>
      </c>
      <c r="E14" s="4">
        <v>68</v>
      </c>
      <c r="F14" s="4">
        <v>16</v>
      </c>
      <c r="G14" s="4">
        <v>2.4</v>
      </c>
      <c r="H14" s="6">
        <f t="shared" ref="H14:H21" si="2">(G14*B14*C14*0.85)/1000</f>
        <v>0.7542696000000001</v>
      </c>
      <c r="I14" s="20" t="s">
        <v>4</v>
      </c>
      <c r="J14" s="21"/>
      <c r="K14" s="6">
        <f>(H14/400)*100</f>
        <v>0.18856740000000002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52.22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0.79896599999999995</v>
      </c>
      <c r="I17" s="20" t="s">
        <v>4</v>
      </c>
      <c r="J17" s="21"/>
      <c r="K17" s="6">
        <f>(H17/400)*100</f>
        <v>0.19974149999999999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0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8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4">
        <v>10.3</v>
      </c>
      <c r="C21" s="4">
        <v>120.58</v>
      </c>
      <c r="D21" s="4">
        <v>125</v>
      </c>
      <c r="E21" s="4">
        <v>134</v>
      </c>
      <c r="F21" s="4">
        <v>50</v>
      </c>
      <c r="G21" s="4">
        <v>0.85</v>
      </c>
      <c r="H21" s="6">
        <f t="shared" si="2"/>
        <v>0.89732621500000009</v>
      </c>
      <c r="I21" s="20" t="s">
        <v>2</v>
      </c>
      <c r="J21" s="21"/>
      <c r="K21" s="6">
        <f>(H21/400)*100</f>
        <v>0.22433155375000002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GREEN - GROUND</vt:lpstr>
      <vt:lpstr>GREEN - LEVEL 1</vt:lpstr>
      <vt:lpstr>GREEN - LEVEL 2 &amp; ROOF</vt:lpstr>
      <vt:lpstr>HEBA - LEVEL 1 &amp; TNB TO MSB</vt:lpstr>
      <vt:lpstr>HEBA - LEVEL 2 &amp; 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ADEL HUSHAM MOHAMEDAIN YOUSUF</cp:lastModifiedBy>
  <cp:lastPrinted>2026-06-16T15:58:01Z</cp:lastPrinted>
  <dcterms:created xsi:type="dcterms:W3CDTF">2026-06-08T11:09:51Z</dcterms:created>
  <dcterms:modified xsi:type="dcterms:W3CDTF">2026-06-19T19:23:43Z</dcterms:modified>
</cp:coreProperties>
</file>