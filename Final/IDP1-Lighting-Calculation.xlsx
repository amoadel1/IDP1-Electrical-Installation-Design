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apedumy-my.sharepoint.com/personal/s231090057-1_studentmail_unimap_edu_my/Documents/Desktop/UniMAP/Semester/IDP 1/Progress 1/"/>
    </mc:Choice>
  </mc:AlternateContent>
  <xr:revisionPtr revIDLastSave="97" documentId="8_{596F0A0D-DC89-4635-A5B4-6C45FCE99888}" xr6:coauthVersionLast="47" xr6:coauthVersionMax="47" xr10:uidLastSave="{5A1D7872-86AF-440E-A972-79689FB2DC97}"/>
  <bookViews>
    <workbookView xWindow="10080" yWindow="0" windowWidth="18825" windowHeight="15585" xr2:uid="{197F3C54-1081-43D9-8868-0CC7163F5CD8}"/>
  </bookViews>
  <sheets>
    <sheet name="GREEN - G FLOOR" sheetId="1" r:id="rId1"/>
    <sheet name="GREEN - 1ST FLOOR" sheetId="2" r:id="rId2"/>
    <sheet name="GREEN - 2ND FLOOR" sheetId="4" r:id="rId3"/>
    <sheet name="HEPA - 1ST FLOOR" sheetId="5" r:id="rId4"/>
    <sheet name="HEPA 2ND FLOOR" sheetId="6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2" i="1" l="1"/>
  <c r="W18" i="1"/>
  <c r="W17" i="1"/>
  <c r="H14" i="1"/>
  <c r="T37" i="6"/>
  <c r="S37" i="6"/>
  <c r="L37" i="6"/>
  <c r="P37" i="6"/>
  <c r="G37" i="6"/>
  <c r="H37" i="6"/>
  <c r="T36" i="6"/>
  <c r="S36" i="6"/>
  <c r="L36" i="6"/>
  <c r="P36" i="6"/>
  <c r="H36" i="6"/>
  <c r="G36" i="6"/>
  <c r="S35" i="6"/>
  <c r="T35" i="6"/>
  <c r="P35" i="6"/>
  <c r="L35" i="6"/>
  <c r="G35" i="6"/>
  <c r="H35" i="6"/>
  <c r="S34" i="6"/>
  <c r="T34" i="6"/>
  <c r="P34" i="6"/>
  <c r="L34" i="6"/>
  <c r="H34" i="6"/>
  <c r="G34" i="6"/>
  <c r="S33" i="6"/>
  <c r="T33" i="6"/>
  <c r="L33" i="6"/>
  <c r="P33" i="6"/>
  <c r="H33" i="6"/>
  <c r="G33" i="6"/>
  <c r="S32" i="6"/>
  <c r="T32" i="6"/>
  <c r="L32" i="6"/>
  <c r="P32" i="6"/>
  <c r="H32" i="6"/>
  <c r="G32" i="6"/>
  <c r="S31" i="6"/>
  <c r="T31" i="6"/>
  <c r="L31" i="6"/>
  <c r="G31" i="6"/>
  <c r="P31" i="6"/>
  <c r="S30" i="6"/>
  <c r="T30" i="6"/>
  <c r="L30" i="6"/>
  <c r="P30" i="6"/>
  <c r="G30" i="6"/>
  <c r="H30" i="6"/>
  <c r="S29" i="6"/>
  <c r="T29" i="6"/>
  <c r="L29" i="6"/>
  <c r="G29" i="6"/>
  <c r="P29" i="6"/>
  <c r="S28" i="6"/>
  <c r="T28" i="6"/>
  <c r="L28" i="6"/>
  <c r="G28" i="6"/>
  <c r="P28" i="6"/>
  <c r="S27" i="6"/>
  <c r="T27" i="6"/>
  <c r="L27" i="6"/>
  <c r="G27" i="6"/>
  <c r="P27" i="6"/>
  <c r="S26" i="6"/>
  <c r="T26" i="6"/>
  <c r="L26" i="6"/>
  <c r="P26" i="6"/>
  <c r="G26" i="6"/>
  <c r="H26" i="6"/>
  <c r="T25" i="6"/>
  <c r="S25" i="6"/>
  <c r="L25" i="6"/>
  <c r="P25" i="6"/>
  <c r="G25" i="6"/>
  <c r="H25" i="6"/>
  <c r="T24" i="6"/>
  <c r="S24" i="6"/>
  <c r="L24" i="6"/>
  <c r="G24" i="6"/>
  <c r="H24" i="6"/>
  <c r="S23" i="6"/>
  <c r="T23" i="6"/>
  <c r="P23" i="6"/>
  <c r="L23" i="6"/>
  <c r="G23" i="6"/>
  <c r="H23" i="6"/>
  <c r="T22" i="6"/>
  <c r="S22" i="6"/>
  <c r="P22" i="6"/>
  <c r="L22" i="6"/>
  <c r="H22" i="6"/>
  <c r="G22" i="6"/>
  <c r="T21" i="6"/>
  <c r="S21" i="6"/>
  <c r="L21" i="6"/>
  <c r="P21" i="6"/>
  <c r="H21" i="6"/>
  <c r="G21" i="6"/>
  <c r="T20" i="6"/>
  <c r="S20" i="6"/>
  <c r="P20" i="6"/>
  <c r="L20" i="6"/>
  <c r="H20" i="6"/>
  <c r="G20" i="6"/>
  <c r="S19" i="6"/>
  <c r="T19" i="6"/>
  <c r="P19" i="6"/>
  <c r="L19" i="6"/>
  <c r="G19" i="6"/>
  <c r="H19" i="6"/>
  <c r="S18" i="6"/>
  <c r="T18" i="6"/>
  <c r="P18" i="6"/>
  <c r="L18" i="6"/>
  <c r="H18" i="6"/>
  <c r="G18" i="6"/>
  <c r="S17" i="6"/>
  <c r="T17" i="6"/>
  <c r="L17" i="6"/>
  <c r="P17" i="6"/>
  <c r="H17" i="6"/>
  <c r="G17" i="6"/>
  <c r="S16" i="6"/>
  <c r="T16" i="6"/>
  <c r="L16" i="6"/>
  <c r="H16" i="6"/>
  <c r="G16" i="6"/>
  <c r="P16" i="6"/>
  <c r="S15" i="6"/>
  <c r="T15" i="6"/>
  <c r="L15" i="6"/>
  <c r="G15" i="6"/>
  <c r="P15" i="6"/>
  <c r="W14" i="6"/>
  <c r="S14" i="6"/>
  <c r="T14" i="6"/>
  <c r="P14" i="6"/>
  <c r="L14" i="6"/>
  <c r="G14" i="6"/>
  <c r="H14" i="6"/>
  <c r="W13" i="6"/>
  <c r="S13" i="6"/>
  <c r="T13" i="6"/>
  <c r="L13" i="6"/>
  <c r="G13" i="6"/>
  <c r="P13" i="6"/>
  <c r="T12" i="6"/>
  <c r="S12" i="6"/>
  <c r="L12" i="6"/>
  <c r="P12" i="6"/>
  <c r="G12" i="6"/>
  <c r="H12" i="6"/>
  <c r="S11" i="6"/>
  <c r="T11" i="6"/>
  <c r="L11" i="6"/>
  <c r="G11" i="6"/>
  <c r="P11" i="6"/>
  <c r="S10" i="6"/>
  <c r="T10" i="6"/>
  <c r="L10" i="6"/>
  <c r="G10" i="6"/>
  <c r="P10" i="6"/>
  <c r="S9" i="6"/>
  <c r="T9" i="6"/>
  <c r="L9" i="6"/>
  <c r="G9" i="6"/>
  <c r="P9" i="6"/>
  <c r="T8" i="6"/>
  <c r="S8" i="6"/>
  <c r="L8" i="6"/>
  <c r="P8" i="6"/>
  <c r="H8" i="6"/>
  <c r="G8" i="6"/>
  <c r="T7" i="6"/>
  <c r="S7" i="6"/>
  <c r="L7" i="6"/>
  <c r="G7" i="6"/>
  <c r="P7" i="6"/>
  <c r="T6" i="6"/>
  <c r="S6" i="6"/>
  <c r="L6" i="6"/>
  <c r="G6" i="6"/>
  <c r="H6" i="6"/>
  <c r="S5" i="6"/>
  <c r="T5" i="6"/>
  <c r="P5" i="6"/>
  <c r="L5" i="6"/>
  <c r="G5" i="6"/>
  <c r="H5" i="6"/>
  <c r="T4" i="6"/>
  <c r="S4" i="6"/>
  <c r="P4" i="6"/>
  <c r="L4" i="6"/>
  <c r="H4" i="6"/>
  <c r="G4" i="6"/>
  <c r="S5" i="5"/>
  <c r="S51" i="5"/>
  <c r="T51" i="5"/>
  <c r="L51" i="5"/>
  <c r="G51" i="5"/>
  <c r="P51" i="5"/>
  <c r="S50" i="5"/>
  <c r="T50" i="5"/>
  <c r="L50" i="5"/>
  <c r="G50" i="5"/>
  <c r="P50" i="5"/>
  <c r="S49" i="5"/>
  <c r="T49" i="5"/>
  <c r="P49" i="5"/>
  <c r="L49" i="5"/>
  <c r="G49" i="5"/>
  <c r="H49" i="5"/>
  <c r="S48" i="5"/>
  <c r="T48" i="5"/>
  <c r="L48" i="5"/>
  <c r="P48" i="5"/>
  <c r="H48" i="5"/>
  <c r="G48" i="5"/>
  <c r="S47" i="5"/>
  <c r="T47" i="5"/>
  <c r="L47" i="5"/>
  <c r="G47" i="5"/>
  <c r="P47" i="5"/>
  <c r="T46" i="5"/>
  <c r="S46" i="5"/>
  <c r="L46" i="5"/>
  <c r="G46" i="5"/>
  <c r="P46" i="5"/>
  <c r="S45" i="5"/>
  <c r="T45" i="5"/>
  <c r="L45" i="5"/>
  <c r="G45" i="5"/>
  <c r="P45" i="5"/>
  <c r="S44" i="5"/>
  <c r="T44" i="5"/>
  <c r="L44" i="5"/>
  <c r="P44" i="5"/>
  <c r="H44" i="5"/>
  <c r="G44" i="5"/>
  <c r="S43" i="5"/>
  <c r="T43" i="5"/>
  <c r="L43" i="5"/>
  <c r="G43" i="5"/>
  <c r="P43" i="5"/>
  <c r="T42" i="5"/>
  <c r="S42" i="5"/>
  <c r="L42" i="5"/>
  <c r="G42" i="5"/>
  <c r="P42" i="5"/>
  <c r="S41" i="5"/>
  <c r="T41" i="5"/>
  <c r="P41" i="5"/>
  <c r="L41" i="5"/>
  <c r="G41" i="5"/>
  <c r="H41" i="5"/>
  <c r="S40" i="5"/>
  <c r="T40" i="5"/>
  <c r="L40" i="5"/>
  <c r="P40" i="5"/>
  <c r="H40" i="5"/>
  <c r="G40" i="5"/>
  <c r="S39" i="5"/>
  <c r="T39" i="5"/>
  <c r="L39" i="5"/>
  <c r="G39" i="5"/>
  <c r="P39" i="5"/>
  <c r="T38" i="5"/>
  <c r="S38" i="5"/>
  <c r="L38" i="5"/>
  <c r="G38" i="5"/>
  <c r="P38" i="5"/>
  <c r="S37" i="5"/>
  <c r="T37" i="5"/>
  <c r="L37" i="5"/>
  <c r="G37" i="5"/>
  <c r="P37" i="5"/>
  <c r="S36" i="5"/>
  <c r="T36" i="5"/>
  <c r="L36" i="5"/>
  <c r="P36" i="5"/>
  <c r="H36" i="5"/>
  <c r="G36" i="5"/>
  <c r="S35" i="5"/>
  <c r="T35" i="5"/>
  <c r="L35" i="5"/>
  <c r="G35" i="5"/>
  <c r="P35" i="5"/>
  <c r="T34" i="5"/>
  <c r="S34" i="5"/>
  <c r="L34" i="5"/>
  <c r="G34" i="5"/>
  <c r="P34" i="5"/>
  <c r="S33" i="5"/>
  <c r="T33" i="5"/>
  <c r="P33" i="5"/>
  <c r="L33" i="5"/>
  <c r="G33" i="5"/>
  <c r="H33" i="5"/>
  <c r="S32" i="5"/>
  <c r="T32" i="5"/>
  <c r="L32" i="5"/>
  <c r="P32" i="5"/>
  <c r="H32" i="5"/>
  <c r="G32" i="5"/>
  <c r="S31" i="5"/>
  <c r="T31" i="5"/>
  <c r="L31" i="5"/>
  <c r="G31" i="5"/>
  <c r="H31" i="5"/>
  <c r="T30" i="5"/>
  <c r="S30" i="5"/>
  <c r="L30" i="5"/>
  <c r="G30" i="5"/>
  <c r="P30" i="5"/>
  <c r="S29" i="5"/>
  <c r="T29" i="5"/>
  <c r="L29" i="5"/>
  <c r="G29" i="5"/>
  <c r="P29" i="5"/>
  <c r="S28" i="5"/>
  <c r="T28" i="5"/>
  <c r="L28" i="5"/>
  <c r="P28" i="5"/>
  <c r="H28" i="5"/>
  <c r="G28" i="5"/>
  <c r="S27" i="5"/>
  <c r="T27" i="5"/>
  <c r="L27" i="5"/>
  <c r="G27" i="5"/>
  <c r="P27" i="5"/>
  <c r="T26" i="5"/>
  <c r="S26" i="5"/>
  <c r="L26" i="5"/>
  <c r="G26" i="5"/>
  <c r="P26" i="5"/>
  <c r="S25" i="5"/>
  <c r="T25" i="5"/>
  <c r="P25" i="5"/>
  <c r="L25" i="5"/>
  <c r="G25" i="5"/>
  <c r="H25" i="5"/>
  <c r="S24" i="5"/>
  <c r="T24" i="5"/>
  <c r="L24" i="5"/>
  <c r="P24" i="5"/>
  <c r="H24" i="5"/>
  <c r="G24" i="5"/>
  <c r="S23" i="5"/>
  <c r="T23" i="5"/>
  <c r="L23" i="5"/>
  <c r="G23" i="5"/>
  <c r="P23" i="5"/>
  <c r="T22" i="5"/>
  <c r="S22" i="5"/>
  <c r="L22" i="5"/>
  <c r="G22" i="5"/>
  <c r="P22" i="5"/>
  <c r="S21" i="5"/>
  <c r="T21" i="5"/>
  <c r="L21" i="5"/>
  <c r="G21" i="5"/>
  <c r="P21" i="5"/>
  <c r="S20" i="5"/>
  <c r="T20" i="5"/>
  <c r="L20" i="5"/>
  <c r="P20" i="5"/>
  <c r="H20" i="5"/>
  <c r="G20" i="5"/>
  <c r="S19" i="5"/>
  <c r="T19" i="5"/>
  <c r="L19" i="5"/>
  <c r="G19" i="5"/>
  <c r="P19" i="5"/>
  <c r="T18" i="5"/>
  <c r="S18" i="5"/>
  <c r="L18" i="5"/>
  <c r="G18" i="5"/>
  <c r="P18" i="5"/>
  <c r="S17" i="5"/>
  <c r="T17" i="5"/>
  <c r="P17" i="5"/>
  <c r="L17" i="5"/>
  <c r="G17" i="5"/>
  <c r="H17" i="5"/>
  <c r="V16" i="5"/>
  <c r="S16" i="5"/>
  <c r="T16" i="5"/>
  <c r="P16" i="5"/>
  <c r="L16" i="5"/>
  <c r="G16" i="5"/>
  <c r="H16" i="5"/>
  <c r="T15" i="5"/>
  <c r="S15" i="5"/>
  <c r="L15" i="5"/>
  <c r="G15" i="5"/>
  <c r="P15" i="5"/>
  <c r="V14" i="5"/>
  <c r="S14" i="5"/>
  <c r="T14" i="5"/>
  <c r="L14" i="5"/>
  <c r="G14" i="5"/>
  <c r="P14" i="5"/>
  <c r="T13" i="5"/>
  <c r="S13" i="5"/>
  <c r="L13" i="5"/>
  <c r="G13" i="5"/>
  <c r="P13" i="5"/>
  <c r="S12" i="5"/>
  <c r="T12" i="5"/>
  <c r="L12" i="5"/>
  <c r="P12" i="5"/>
  <c r="G12" i="5"/>
  <c r="H12" i="5"/>
  <c r="S11" i="5"/>
  <c r="T11" i="5"/>
  <c r="L11" i="5"/>
  <c r="P11" i="5"/>
  <c r="H11" i="5"/>
  <c r="G11" i="5"/>
  <c r="S10" i="5"/>
  <c r="T10" i="5"/>
  <c r="L10" i="5"/>
  <c r="G10" i="5"/>
  <c r="H10" i="5"/>
  <c r="S9" i="5"/>
  <c r="T9" i="5"/>
  <c r="L9" i="5"/>
  <c r="G9" i="5"/>
  <c r="P9" i="5"/>
  <c r="S8" i="5"/>
  <c r="T8" i="5"/>
  <c r="L8" i="5"/>
  <c r="G8" i="5"/>
  <c r="P8" i="5"/>
  <c r="S7" i="5"/>
  <c r="T7" i="5"/>
  <c r="L7" i="5"/>
  <c r="G7" i="5"/>
  <c r="H7" i="5"/>
  <c r="S6" i="5"/>
  <c r="T6" i="5"/>
  <c r="L6" i="5"/>
  <c r="G6" i="5"/>
  <c r="P6" i="5"/>
  <c r="T5" i="5"/>
  <c r="L5" i="5"/>
  <c r="G5" i="5"/>
  <c r="P5" i="5"/>
  <c r="S4" i="5"/>
  <c r="T4" i="5"/>
  <c r="L4" i="5"/>
  <c r="P4" i="5"/>
  <c r="G4" i="5"/>
  <c r="H4" i="5"/>
  <c r="T12" i="4"/>
  <c r="T13" i="4"/>
  <c r="T14" i="4"/>
  <c r="T19" i="4"/>
  <c r="T20" i="4"/>
  <c r="S5" i="4"/>
  <c r="T5" i="4"/>
  <c r="S6" i="4"/>
  <c r="T6" i="4"/>
  <c r="S7" i="4"/>
  <c r="T7" i="4"/>
  <c r="S8" i="4"/>
  <c r="T8" i="4"/>
  <c r="S9" i="4"/>
  <c r="T9" i="4"/>
  <c r="S10" i="4"/>
  <c r="T10" i="4"/>
  <c r="S11" i="4"/>
  <c r="T11" i="4"/>
  <c r="S12" i="4"/>
  <c r="S13" i="4"/>
  <c r="S14" i="4"/>
  <c r="S15" i="4"/>
  <c r="T15" i="4"/>
  <c r="S16" i="4"/>
  <c r="T16" i="4"/>
  <c r="S17" i="4"/>
  <c r="T17" i="4"/>
  <c r="S18" i="4"/>
  <c r="T18" i="4"/>
  <c r="S19" i="4"/>
  <c r="S20" i="4"/>
  <c r="S21" i="4"/>
  <c r="T21" i="4"/>
  <c r="S22" i="4"/>
  <c r="T22" i="4"/>
  <c r="S4" i="4"/>
  <c r="T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4" i="4"/>
  <c r="G4" i="4"/>
  <c r="H4" i="2"/>
  <c r="I4" i="2"/>
  <c r="M4" i="2"/>
  <c r="P4" i="2"/>
  <c r="Q4" i="2"/>
  <c r="R4" i="2"/>
  <c r="T4" i="2"/>
  <c r="U4" i="2"/>
  <c r="G5" i="2"/>
  <c r="H5" i="2"/>
  <c r="I5" i="2"/>
  <c r="M5" i="2"/>
  <c r="P5" i="2"/>
  <c r="T5" i="2"/>
  <c r="U5" i="2"/>
  <c r="G6" i="2"/>
  <c r="H6" i="2"/>
  <c r="I6" i="2"/>
  <c r="M6" i="2"/>
  <c r="P6" i="2"/>
  <c r="Q6" i="2"/>
  <c r="T6" i="2"/>
  <c r="U6" i="2"/>
  <c r="G7" i="2"/>
  <c r="T7" i="2"/>
  <c r="U7" i="2"/>
  <c r="H7" i="2"/>
  <c r="M7" i="2"/>
  <c r="P7" i="2"/>
  <c r="Q7" i="2"/>
  <c r="H8" i="2"/>
  <c r="I8" i="2"/>
  <c r="M8" i="2"/>
  <c r="P8" i="2"/>
  <c r="T8" i="2"/>
  <c r="U8" i="2"/>
  <c r="H9" i="2"/>
  <c r="I9" i="2"/>
  <c r="M9" i="2"/>
  <c r="P9" i="2"/>
  <c r="Q9" i="2"/>
  <c r="R9" i="2"/>
  <c r="T9" i="2"/>
  <c r="U9" i="2"/>
  <c r="G10" i="2"/>
  <c r="H10" i="2"/>
  <c r="I10" i="2"/>
  <c r="M10" i="2"/>
  <c r="P10" i="2"/>
  <c r="Q10" i="2"/>
  <c r="R10" i="2"/>
  <c r="T10" i="2"/>
  <c r="U10" i="2"/>
  <c r="H11" i="2"/>
  <c r="I11" i="2"/>
  <c r="M11" i="2"/>
  <c r="P11" i="2"/>
  <c r="Q11" i="2"/>
  <c r="R11" i="2"/>
  <c r="T11" i="2"/>
  <c r="U11" i="2"/>
  <c r="H12" i="2"/>
  <c r="I12" i="2"/>
  <c r="M12" i="2"/>
  <c r="P12" i="2"/>
  <c r="T12" i="2"/>
  <c r="U12" i="2"/>
  <c r="G13" i="2"/>
  <c r="T13" i="2"/>
  <c r="U13" i="2"/>
  <c r="H13" i="2"/>
  <c r="I13" i="2"/>
  <c r="M13" i="2"/>
  <c r="P13" i="2"/>
  <c r="Q13" i="2"/>
  <c r="R13" i="2"/>
  <c r="H14" i="2"/>
  <c r="I14" i="2"/>
  <c r="M14" i="2"/>
  <c r="Q14" i="2"/>
  <c r="R14" i="2"/>
  <c r="T14" i="2"/>
  <c r="U14" i="2"/>
  <c r="H15" i="2"/>
  <c r="I15" i="2"/>
  <c r="M15" i="2"/>
  <c r="T15" i="2"/>
  <c r="U15" i="2"/>
  <c r="H16" i="2"/>
  <c r="I16" i="2"/>
  <c r="M16" i="2"/>
  <c r="T16" i="2"/>
  <c r="U16" i="2"/>
  <c r="H17" i="2"/>
  <c r="I17" i="2"/>
  <c r="M17" i="2"/>
  <c r="T17" i="2"/>
  <c r="U17" i="2"/>
  <c r="H18" i="2"/>
  <c r="Q18" i="2"/>
  <c r="M18" i="2"/>
  <c r="T18" i="2"/>
  <c r="U18" i="2"/>
  <c r="H19" i="2"/>
  <c r="I19" i="2"/>
  <c r="M19" i="2"/>
  <c r="Q19" i="2"/>
  <c r="R19" i="2"/>
  <c r="T19" i="2"/>
  <c r="U19" i="2"/>
  <c r="H20" i="2"/>
  <c r="I20" i="2"/>
  <c r="M20" i="2"/>
  <c r="T20" i="2"/>
  <c r="U20" i="2"/>
  <c r="H21" i="2"/>
  <c r="I21" i="2"/>
  <c r="M21" i="2"/>
  <c r="P21" i="2"/>
  <c r="Q21" i="2"/>
  <c r="R21" i="2"/>
  <c r="T21" i="2"/>
  <c r="U21" i="2"/>
  <c r="H22" i="2"/>
  <c r="I22" i="2"/>
  <c r="M22" i="2"/>
  <c r="Q22" i="2"/>
  <c r="R22" i="2"/>
  <c r="T22" i="2"/>
  <c r="U22" i="2"/>
  <c r="H23" i="2"/>
  <c r="I23" i="2"/>
  <c r="M23" i="2"/>
  <c r="Q23" i="2"/>
  <c r="R23" i="2"/>
  <c r="T23" i="2"/>
  <c r="U23" i="2"/>
  <c r="X11" i="1"/>
  <c r="X10" i="1"/>
  <c r="U8" i="1"/>
  <c r="U15" i="1"/>
  <c r="U16" i="1"/>
  <c r="U17" i="1"/>
  <c r="U23" i="1"/>
  <c r="U33" i="1"/>
  <c r="U4" i="1"/>
  <c r="T5" i="1"/>
  <c r="U5" i="1"/>
  <c r="T6" i="1"/>
  <c r="U6" i="1"/>
  <c r="T7" i="1"/>
  <c r="U7" i="1"/>
  <c r="T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T16" i="1"/>
  <c r="T17" i="1"/>
  <c r="T18" i="1"/>
  <c r="U18" i="1"/>
  <c r="T19" i="1"/>
  <c r="U19" i="1"/>
  <c r="T20" i="1"/>
  <c r="U20" i="1"/>
  <c r="T21" i="1"/>
  <c r="U21" i="1"/>
  <c r="T22" i="1"/>
  <c r="U22" i="1"/>
  <c r="T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T34" i="1"/>
  <c r="U34" i="1"/>
  <c r="T35" i="1"/>
  <c r="U35" i="1"/>
  <c r="T36" i="1"/>
  <c r="U36" i="1"/>
  <c r="T37" i="1"/>
  <c r="U37" i="1"/>
  <c r="T38" i="1"/>
  <c r="U38" i="1"/>
  <c r="T39" i="1"/>
  <c r="U39" i="1"/>
  <c r="T40" i="1"/>
  <c r="U40" i="1"/>
  <c r="T41" i="1"/>
  <c r="U41" i="1"/>
  <c r="T42" i="1"/>
  <c r="U42" i="1"/>
  <c r="T43" i="1"/>
  <c r="U43" i="1"/>
  <c r="T44" i="1"/>
  <c r="U44" i="1"/>
  <c r="T45" i="1"/>
  <c r="U45" i="1"/>
  <c r="T4" i="1"/>
  <c r="Q7" i="1"/>
  <c r="M7" i="1"/>
  <c r="I7" i="1"/>
  <c r="H7" i="1"/>
  <c r="Q14" i="1"/>
  <c r="Q30" i="1"/>
  <c r="Q31" i="1"/>
  <c r="M5" i="1"/>
  <c r="M6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" i="1"/>
  <c r="I19" i="1"/>
  <c r="H19" i="1"/>
  <c r="Q19" i="1"/>
  <c r="I26" i="1"/>
  <c r="H26" i="1"/>
  <c r="Q26" i="1"/>
  <c r="I45" i="1"/>
  <c r="H45" i="1"/>
  <c r="Q45" i="1"/>
  <c r="I44" i="1"/>
  <c r="H44" i="1"/>
  <c r="Q44" i="1"/>
  <c r="I43" i="1"/>
  <c r="H43" i="1"/>
  <c r="Q43" i="1"/>
  <c r="I42" i="1"/>
  <c r="H42" i="1"/>
  <c r="Q42" i="1"/>
  <c r="I41" i="1"/>
  <c r="H41" i="1"/>
  <c r="Q41" i="1"/>
  <c r="I40" i="1"/>
  <c r="H40" i="1"/>
  <c r="Q40" i="1"/>
  <c r="I39" i="1"/>
  <c r="H39" i="1"/>
  <c r="Q39" i="1"/>
  <c r="I38" i="1"/>
  <c r="H38" i="1"/>
  <c r="Q38" i="1"/>
  <c r="I37" i="1"/>
  <c r="H37" i="1"/>
  <c r="Q37" i="1"/>
  <c r="I36" i="1"/>
  <c r="H36" i="1"/>
  <c r="Q36" i="1"/>
  <c r="I35" i="1"/>
  <c r="H35" i="1"/>
  <c r="Q35" i="1"/>
  <c r="I34" i="1"/>
  <c r="H34" i="1"/>
  <c r="Q34" i="1"/>
  <c r="I33" i="1"/>
  <c r="H33" i="1"/>
  <c r="Q33" i="1"/>
  <c r="I32" i="1"/>
  <c r="H32" i="1"/>
  <c r="Q32" i="1"/>
  <c r="I31" i="1"/>
  <c r="H31" i="1"/>
  <c r="I30" i="1"/>
  <c r="H30" i="1"/>
  <c r="I29" i="1"/>
  <c r="H29" i="1"/>
  <c r="Q29" i="1"/>
  <c r="I28" i="1"/>
  <c r="H28" i="1"/>
  <c r="Q28" i="1"/>
  <c r="I27" i="1"/>
  <c r="H27" i="1"/>
  <c r="Q27" i="1"/>
  <c r="I25" i="1"/>
  <c r="H25" i="1"/>
  <c r="Q25" i="1"/>
  <c r="I24" i="1"/>
  <c r="H24" i="1"/>
  <c r="Q24" i="1"/>
  <c r="I23" i="1"/>
  <c r="H23" i="1"/>
  <c r="Q23" i="1"/>
  <c r="I22" i="1"/>
  <c r="H22" i="1"/>
  <c r="Q22" i="1"/>
  <c r="I21" i="1"/>
  <c r="H21" i="1"/>
  <c r="Q21" i="1"/>
  <c r="I20" i="1"/>
  <c r="H20" i="1"/>
  <c r="Q20" i="1"/>
  <c r="I18" i="1"/>
  <c r="H18" i="1"/>
  <c r="Q18" i="1"/>
  <c r="I17" i="1"/>
  <c r="H17" i="1"/>
  <c r="Q17" i="1"/>
  <c r="I16" i="1"/>
  <c r="H16" i="1"/>
  <c r="Q16" i="1"/>
  <c r="I15" i="1"/>
  <c r="H15" i="1"/>
  <c r="Q15" i="1"/>
  <c r="I14" i="1"/>
  <c r="I13" i="1"/>
  <c r="H13" i="1"/>
  <c r="Q13" i="1"/>
  <c r="I12" i="1"/>
  <c r="H12" i="1"/>
  <c r="Q12" i="1"/>
  <c r="I11" i="1"/>
  <c r="H11" i="1"/>
  <c r="Q11" i="1"/>
  <c r="I10" i="1"/>
  <c r="H10" i="1"/>
  <c r="Q10" i="1"/>
  <c r="I9" i="1"/>
  <c r="H9" i="1"/>
  <c r="Q9" i="1"/>
  <c r="I8" i="1"/>
  <c r="H8" i="1"/>
  <c r="Q8" i="1"/>
  <c r="I6" i="1"/>
  <c r="H6" i="1"/>
  <c r="Q6" i="1"/>
  <c r="I5" i="1"/>
  <c r="H5" i="1"/>
  <c r="Q5" i="1"/>
  <c r="I4" i="1"/>
  <c r="H4" i="1"/>
  <c r="Q4" i="1"/>
  <c r="Q20" i="2"/>
  <c r="R20" i="2"/>
  <c r="Q8" i="2"/>
  <c r="R8" i="2"/>
  <c r="Q5" i="2"/>
  <c r="Q15" i="2"/>
  <c r="R15" i="2"/>
  <c r="Q12" i="2"/>
  <c r="R12" i="2"/>
  <c r="I7" i="2"/>
  <c r="H13" i="6"/>
  <c r="H15" i="6"/>
  <c r="H31" i="6"/>
  <c r="P6" i="6"/>
  <c r="P24" i="6"/>
  <c r="H11" i="6"/>
  <c r="H29" i="6"/>
  <c r="H9" i="6"/>
  <c r="H27" i="6"/>
  <c r="H7" i="6"/>
  <c r="H10" i="6"/>
  <c r="H28" i="6"/>
  <c r="H6" i="5"/>
  <c r="H14" i="5"/>
  <c r="H9" i="5"/>
  <c r="H15" i="5"/>
  <c r="H23" i="5"/>
  <c r="H39" i="5"/>
  <c r="H47" i="5"/>
  <c r="H5" i="5"/>
  <c r="P10" i="5"/>
  <c r="H13" i="5"/>
  <c r="H18" i="5"/>
  <c r="H26" i="5"/>
  <c r="P31" i="5"/>
  <c r="H34" i="5"/>
  <c r="H42" i="5"/>
  <c r="H50" i="5"/>
  <c r="H51" i="5"/>
  <c r="P7" i="5"/>
  <c r="H8" i="5"/>
  <c r="H21" i="5"/>
  <c r="H29" i="5"/>
  <c r="H37" i="5"/>
  <c r="H45" i="5"/>
  <c r="H27" i="5"/>
  <c r="H35" i="5"/>
  <c r="H19" i="5"/>
  <c r="H43" i="5"/>
  <c r="H22" i="5"/>
  <c r="H30" i="5"/>
  <c r="H38" i="5"/>
  <c r="H46" i="5"/>
  <c r="I18" i="2"/>
  <c r="Q17" i="2"/>
  <c r="R17" i="2"/>
  <c r="Q16" i="2"/>
  <c r="R16" i="2"/>
</calcChain>
</file>

<file path=xl/sharedStrings.xml><?xml version="1.0" encoding="utf-8"?>
<sst xmlns="http://schemas.openxmlformats.org/spreadsheetml/2006/main" count="712" uniqueCount="256">
  <si>
    <t>Quatity Lamp Calculation</t>
  </si>
  <si>
    <t>No</t>
  </si>
  <si>
    <t>Length</t>
  </si>
  <si>
    <t>Width</t>
  </si>
  <si>
    <t>Mounting Height</t>
  </si>
  <si>
    <t>Area (L xW)</t>
  </si>
  <si>
    <t>Room Index</t>
  </si>
  <si>
    <t>CoU</t>
  </si>
  <si>
    <t>Avg Illuminance</t>
  </si>
  <si>
    <t>MF</t>
  </si>
  <si>
    <t>Installed Lux</t>
  </si>
  <si>
    <t>Lamp Code</t>
  </si>
  <si>
    <t>Lamp Type</t>
  </si>
  <si>
    <t>Lighting Design</t>
  </si>
  <si>
    <t>Actual Lamp</t>
  </si>
  <si>
    <t xml:space="preserve">Quantity Lamp </t>
  </si>
  <si>
    <t>L (m)</t>
  </si>
  <si>
    <t>W (m)</t>
  </si>
  <si>
    <t>hm (m)</t>
  </si>
  <si>
    <t>A (m2)</t>
  </si>
  <si>
    <t>K</t>
  </si>
  <si>
    <t>Lux</t>
  </si>
  <si>
    <t>CoU x MF</t>
  </si>
  <si>
    <t>Quantity</t>
  </si>
  <si>
    <t>Used</t>
  </si>
  <si>
    <t>Server Room</t>
  </si>
  <si>
    <t>BILIK SERVER</t>
  </si>
  <si>
    <t>Deputy Dean Office</t>
  </si>
  <si>
    <t>TIMBALAN DEKAN</t>
  </si>
  <si>
    <t>Dean Office</t>
  </si>
  <si>
    <t>BILIK DEKAN</t>
  </si>
  <si>
    <t>Store Room</t>
  </si>
  <si>
    <t>BILIK SETOR</t>
  </si>
  <si>
    <t>Assistant Registrar Office</t>
  </si>
  <si>
    <t>PENOLONG DAFTAR</t>
  </si>
  <si>
    <t>Assistant Registrar Office 2</t>
  </si>
  <si>
    <t>PENOLONG DAFTAR 2</t>
  </si>
  <si>
    <t>Guest Room</t>
  </si>
  <si>
    <t>BILIK TETAMU</t>
  </si>
  <si>
    <t>Meeting Room</t>
  </si>
  <si>
    <t>BILIK MESYUARAT</t>
  </si>
  <si>
    <t>Switchboard Room (ER)</t>
  </si>
  <si>
    <t>BILIK SWITCHBOARD (ER)</t>
  </si>
  <si>
    <t>Staircase / Lobby</t>
  </si>
  <si>
    <t>R. TANGGA / LEGAR</t>
  </si>
  <si>
    <t>Utility Room</t>
  </si>
  <si>
    <t>UTILITI</t>
  </si>
  <si>
    <t>Engineering Center 2</t>
  </si>
  <si>
    <t>PUSAT KEJURUTERAAN 2</t>
  </si>
  <si>
    <t>Male Toilet</t>
  </si>
  <si>
    <t>TANDAS LELAKI</t>
  </si>
  <si>
    <t>Female Toilet</t>
  </si>
  <si>
    <t>TANDAS PEREMPUAN</t>
  </si>
  <si>
    <t>Female Prayer Room</t>
  </si>
  <si>
    <t>SURAU (P)</t>
  </si>
  <si>
    <t>Male Prayer Room</t>
  </si>
  <si>
    <t>SURAU (L)</t>
  </si>
  <si>
    <t>Car Porch Area</t>
  </si>
  <si>
    <t>ANJUNG KERETA</t>
  </si>
  <si>
    <t>Corridor A</t>
  </si>
  <si>
    <t>CORRIDOR A</t>
  </si>
  <si>
    <t>Corridor B</t>
  </si>
  <si>
    <t>CORRIDOR B</t>
  </si>
  <si>
    <t>Corridor C</t>
  </si>
  <si>
    <t>CORRIDOR C</t>
  </si>
  <si>
    <t>Corridor D</t>
  </si>
  <si>
    <t>CORRIDOR D</t>
  </si>
  <si>
    <t>Corridor E</t>
  </si>
  <si>
    <t>CORRIDOR E</t>
  </si>
  <si>
    <t>Corridor F</t>
  </si>
  <si>
    <t>CORRIDOR F</t>
  </si>
  <si>
    <t>Corridor G</t>
  </si>
  <si>
    <t>CORRIDOR G</t>
  </si>
  <si>
    <t>Corridor H</t>
  </si>
  <si>
    <t>CORRIDOR H</t>
  </si>
  <si>
    <t>Corridor J</t>
  </si>
  <si>
    <t>CORRIDOR J</t>
  </si>
  <si>
    <t>Corridor K</t>
  </si>
  <si>
    <t>CORRIDOR K</t>
  </si>
  <si>
    <t>Corridor L</t>
  </si>
  <si>
    <t>CORRIDOR L</t>
  </si>
  <si>
    <t>Corridor M</t>
  </si>
  <si>
    <t>CORRIDOR M</t>
  </si>
  <si>
    <t>Corridor N</t>
  </si>
  <si>
    <t>CORRIDOR N</t>
  </si>
  <si>
    <t>Corridor O</t>
  </si>
  <si>
    <t>CORRIDOR O</t>
  </si>
  <si>
    <t>Corridor P</t>
  </si>
  <si>
    <t>CORRIDOR P</t>
  </si>
  <si>
    <t>Corridor Q</t>
  </si>
  <si>
    <t>CORRIDOR Q</t>
  </si>
  <si>
    <t>Corridor R</t>
  </si>
  <si>
    <t>CORRIDOR R</t>
  </si>
  <si>
    <t>Corridor S</t>
  </si>
  <si>
    <t>CORRIDOR S</t>
  </si>
  <si>
    <t>Corridor T</t>
  </si>
  <si>
    <t>CORRIDOR T</t>
  </si>
  <si>
    <t>Lumen,LDL</t>
  </si>
  <si>
    <t>YBC 236</t>
  </si>
  <si>
    <t>PUSAT KEJURUTERAAN 1</t>
  </si>
  <si>
    <t>Engineering Center 1</t>
  </si>
  <si>
    <t>YBC 136</t>
  </si>
  <si>
    <t>YBC 118</t>
  </si>
  <si>
    <t>FLUORESCENT 2×36W</t>
  </si>
  <si>
    <t>FLUORESCENT 1×36W</t>
  </si>
  <si>
    <t>FLUORESCENT 1×18W</t>
  </si>
  <si>
    <t>SHR MAX</t>
  </si>
  <si>
    <t>SPACE</t>
  </si>
  <si>
    <t>BILIK CETAK</t>
  </si>
  <si>
    <t>Printing Room</t>
  </si>
  <si>
    <t>BILIK PANTRI 1</t>
  </si>
  <si>
    <t>BILIK PANTRI 2</t>
  </si>
  <si>
    <t>Pantry Room 2</t>
  </si>
  <si>
    <t>Pantry Room 1</t>
  </si>
  <si>
    <t>TOTAL LAMB</t>
  </si>
  <si>
    <t>S/2</t>
  </si>
  <si>
    <t>Location (ENGLISH)</t>
  </si>
  <si>
    <t>Location (MALAY)</t>
  </si>
  <si>
    <t>Location</t>
  </si>
  <si>
    <t xml:space="preserve">Quantity of </t>
  </si>
  <si>
    <t>Actual Quantity</t>
  </si>
  <si>
    <t xml:space="preserve">Lumen , LDL </t>
  </si>
  <si>
    <t>Lamp Used</t>
  </si>
  <si>
    <t xml:space="preserve">Server Room </t>
  </si>
  <si>
    <t>Bilik Server</t>
  </si>
  <si>
    <t>Assitant Dean</t>
  </si>
  <si>
    <t xml:space="preserve">Timbalan Dekan </t>
  </si>
  <si>
    <t xml:space="preserve">Dean Meeting </t>
  </si>
  <si>
    <t>Mesyuarat Dekan</t>
  </si>
  <si>
    <t>Dekan</t>
  </si>
  <si>
    <t>Tetamu</t>
  </si>
  <si>
    <t>Ass Registar</t>
  </si>
  <si>
    <t>Penolong Daftar</t>
  </si>
  <si>
    <t>Cetak</t>
  </si>
  <si>
    <t>Stor</t>
  </si>
  <si>
    <t>Setor</t>
  </si>
  <si>
    <t>Pusat 1</t>
  </si>
  <si>
    <t>Engineering Area</t>
  </si>
  <si>
    <t>Pusat Kejuruteraan</t>
  </si>
  <si>
    <t>Toilet (M)</t>
  </si>
  <si>
    <t>Tandas (L)</t>
  </si>
  <si>
    <t>Toilet (F)</t>
  </si>
  <si>
    <t>Tandas (P)</t>
  </si>
  <si>
    <t>Stairs</t>
  </si>
  <si>
    <t>Tangga</t>
  </si>
  <si>
    <t xml:space="preserve">Bilik Setor </t>
  </si>
  <si>
    <t>Coordination Centre</t>
  </si>
  <si>
    <t>Pusat Penyelaras 1</t>
  </si>
  <si>
    <t>Utility</t>
  </si>
  <si>
    <t>Utiliti</t>
  </si>
  <si>
    <t>Pusat Penyelaras 2</t>
  </si>
  <si>
    <t>Pusat 2</t>
  </si>
  <si>
    <t>Center</t>
  </si>
  <si>
    <t>Corridor</t>
  </si>
  <si>
    <t>Korridor</t>
  </si>
  <si>
    <t>Concrete Roof</t>
  </si>
  <si>
    <t>Bumbung Konkrit</t>
  </si>
  <si>
    <t>Timblan Pengarah</t>
  </si>
  <si>
    <t xml:space="preserve">Bilik Pantri </t>
  </si>
  <si>
    <t xml:space="preserve">Bilik Bincang </t>
  </si>
  <si>
    <t xml:space="preserve">Bilik Pengarah </t>
  </si>
  <si>
    <t xml:space="preserve">Bilik Tetamu </t>
  </si>
  <si>
    <t xml:space="preserve">Penolong Pendafar </t>
  </si>
  <si>
    <t xml:space="preserve">Bilik Mesyurat </t>
  </si>
  <si>
    <t xml:space="preserve">Tandas </t>
  </si>
  <si>
    <t xml:space="preserve">R. Tangga/ Legar </t>
  </si>
  <si>
    <t xml:space="preserve">Bikil Setor </t>
  </si>
  <si>
    <t xml:space="preserve">Bilik Rundingan-1 </t>
  </si>
  <si>
    <t xml:space="preserve">Bilik Rundingan-2 </t>
  </si>
  <si>
    <t>Bikil Rundingan-3</t>
  </si>
  <si>
    <t>Bikil Rundingan-4</t>
  </si>
  <si>
    <t xml:space="preserve">Pusat Kejuruuteraan </t>
  </si>
  <si>
    <t xml:space="preserve">Koridor </t>
  </si>
  <si>
    <t>RUANG KERJA 1</t>
  </si>
  <si>
    <t xml:space="preserve">FLUORESCENT 2X36W </t>
  </si>
  <si>
    <t>RUANG KERJA 2</t>
  </si>
  <si>
    <t>RUANG KERJA 3</t>
  </si>
  <si>
    <t>RUANG KERJA 4</t>
  </si>
  <si>
    <t>RUANG KERJA 5</t>
  </si>
  <si>
    <t>RUANG KERJA 6</t>
  </si>
  <si>
    <t>RUANG KERJA 7</t>
  </si>
  <si>
    <t>RUANG KERJA 8</t>
  </si>
  <si>
    <t>RUANG KERJA 9</t>
  </si>
  <si>
    <t>BILIK FAIL</t>
  </si>
  <si>
    <t>1X36</t>
  </si>
  <si>
    <t>LALUAN 1</t>
  </si>
  <si>
    <t xml:space="preserve">FLUORESCENT 1X36W </t>
  </si>
  <si>
    <t>LALUAN 1.1</t>
  </si>
  <si>
    <t>2X36</t>
  </si>
  <si>
    <t>LALUAN 1.2</t>
  </si>
  <si>
    <t>TANDAS</t>
  </si>
  <si>
    <t>TANGGA 3</t>
  </si>
  <si>
    <t>FOYER 2</t>
  </si>
  <si>
    <t>BILIK ALAT MUZIK 1</t>
  </si>
  <si>
    <t>BILIK ALAT MUZIK 2</t>
  </si>
  <si>
    <t>BILIK KEBUDAYAAN</t>
  </si>
  <si>
    <t>BILIK KOSTUM PAKAIAN</t>
  </si>
  <si>
    <t>LALUAN 2</t>
  </si>
  <si>
    <t>TANGGA 1</t>
  </si>
  <si>
    <t>LALUAN 2.1</t>
  </si>
  <si>
    <t>BILIK SOLAT LELAKI</t>
  </si>
  <si>
    <t>BILIK SOLAT PEREMPUAN</t>
  </si>
  <si>
    <t>BILIK PERALATAN PELAJAR</t>
  </si>
  <si>
    <t>KAUNTER LAYAN PELAJAR</t>
  </si>
  <si>
    <t>RUANG KERJA 10</t>
  </si>
  <si>
    <t>RUANG KERJA 11</t>
  </si>
  <si>
    <t>BILIK RUNDINGAN PELAJAR 2</t>
  </si>
  <si>
    <t>BILIK RUNDINGAN PELAJAR 1</t>
  </si>
  <si>
    <t>PEJABAT AM</t>
  </si>
  <si>
    <t>RUANG MENUNGGU PELAJAR</t>
  </si>
  <si>
    <t>TANGGA 2</t>
  </si>
  <si>
    <t>FOYER 1</t>
  </si>
  <si>
    <t>ELEKTRIK</t>
  </si>
  <si>
    <t>TELEFON&amp;ICT</t>
  </si>
  <si>
    <t>LALUAN 3</t>
  </si>
  <si>
    <t>LALUAN 4</t>
  </si>
  <si>
    <t>LALUAN 5</t>
  </si>
  <si>
    <t>LALUAN 5.1</t>
  </si>
  <si>
    <t>LALUAN 6</t>
  </si>
  <si>
    <t>LALUAN 6.1</t>
  </si>
  <si>
    <t>LALUAN 6.2</t>
  </si>
  <si>
    <t>LALUAN 6.3</t>
  </si>
  <si>
    <t>LALUAN 6.4</t>
  </si>
  <si>
    <t xml:space="preserve">SHR MAX </t>
  </si>
  <si>
    <t>FLUORESCENT 1X36W</t>
  </si>
  <si>
    <t>FLUORESCENT 2X36W</t>
  </si>
  <si>
    <t>L+C7:T10 A L U A N 2.1</t>
  </si>
  <si>
    <t>LALUAN 2.2</t>
  </si>
  <si>
    <t>L  A  L  U  A  N 2.3</t>
  </si>
  <si>
    <t>L  A  L  U  A  N 2.4</t>
  </si>
  <si>
    <t>BILIK PEGAWAI 3</t>
  </si>
  <si>
    <t>RUANG KERJA 20</t>
  </si>
  <si>
    <t>RUANG KERJA 21</t>
  </si>
  <si>
    <t>BILIK ALAT TULIS</t>
  </si>
  <si>
    <t>RISER ICT+ELEKTRIK</t>
  </si>
  <si>
    <t>RUANG KERJA 16</t>
  </si>
  <si>
    <t>RUANG KERJA 17</t>
  </si>
  <si>
    <t>RUANG KERJA 18</t>
  </si>
  <si>
    <t>RUANG KERJA 19</t>
  </si>
  <si>
    <t>BILIK RANGKAIAN ICT+PANTRI</t>
  </si>
  <si>
    <t>L A L U A N 2.5</t>
  </si>
  <si>
    <t>L  A  L  U  A  N 2.6</t>
  </si>
  <si>
    <t>L A L U A N 2.7</t>
  </si>
  <si>
    <t>TANDAS(P)(L)+SERVIS</t>
  </si>
  <si>
    <t>L  A  L  U  A  N 2.8</t>
  </si>
  <si>
    <t>LALUAN 2.9</t>
  </si>
  <si>
    <t>L A L U A N 2.1.1</t>
  </si>
  <si>
    <t>L  A  L  U  A  N 2.1.2</t>
  </si>
  <si>
    <t>L  A  L  U  A  N 2.1.3</t>
  </si>
  <si>
    <t>RUANG MENUNGGU</t>
  </si>
  <si>
    <t>RUANG KERJA 12</t>
  </si>
  <si>
    <t>RUANG KERJA 13</t>
  </si>
  <si>
    <t>RUANG KERJA 14</t>
  </si>
  <si>
    <t>BILIK PEGAWAI 1</t>
  </si>
  <si>
    <t>BILIK PEGAWAI 2</t>
  </si>
  <si>
    <t>BILIK MESYUARAT UTAMA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</si>
</sst>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0"/>
      <name val="Times New Roman"/>
      <family val="1"/>
    </font>
    <font>
      <b/>
      <sz val="10"/>
      <color rgb="FF434343"/>
      <name val="Times New Roman"/>
      <family val="1"/>
    </font>
    <font>
      <sz val="8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0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99CC"/>
        <bgColor rgb="FFFF99CC"/>
      </patternFill>
    </fill>
    <fill>
      <patternFill patternType="solid">
        <fgColor rgb="FFFF6600"/>
        <bgColor rgb="FFFF6600"/>
      </patternFill>
    </fill>
    <fill>
      <patternFill patternType="solid">
        <fgColor rgb="FFC0C0C0"/>
        <bgColor rgb="FFC0C0C0"/>
      </patternFill>
    </fill>
    <fill>
      <patternFill patternType="solid">
        <fgColor rgb="FFCCFFCC"/>
        <bgColor rgb="FFCCFFCC"/>
      </patternFill>
    </fill>
    <fill>
      <patternFill patternType="solid">
        <fgColor rgb="FF99CCFF"/>
        <bgColor rgb="FF99CC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4" fillId="0" borderId="2" xfId="0" applyFont="1" applyBorder="1" applyAlignment="1">
      <alignment vertical="center"/>
    </xf>
    <xf numFmtId="0" fontId="5" fillId="3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4" fillId="8" borderId="2" xfId="0" applyFont="1" applyFill="1" applyBorder="1" applyAlignment="1">
      <alignment vertical="center"/>
    </xf>
    <xf numFmtId="0" fontId="4" fillId="9" borderId="2" xfId="0" applyFont="1" applyFill="1" applyBorder="1" applyAlignment="1">
      <alignment vertical="center"/>
    </xf>
    <xf numFmtId="0" fontId="5" fillId="10" borderId="2" xfId="0" applyFont="1" applyFill="1" applyBorder="1" applyAlignment="1">
      <alignment vertical="center" wrapText="1"/>
    </xf>
    <xf numFmtId="0" fontId="7" fillId="0" borderId="2" xfId="0" applyFont="1" applyBorder="1"/>
    <xf numFmtId="0" fontId="4" fillId="2" borderId="2" xfId="0" applyFont="1" applyFill="1" applyBorder="1" applyAlignment="1">
      <alignment horizontal="center" vertical="center"/>
    </xf>
    <xf numFmtId="0" fontId="4" fillId="2" borderId="2" xfId="1" applyFont="1" applyFill="1" applyBorder="1" applyAlignment="1" applyProtection="1">
      <alignment horizontal="center" vertical="center"/>
    </xf>
    <xf numFmtId="0" fontId="2" fillId="11" borderId="2" xfId="0" applyFont="1" applyFill="1" applyBorder="1" applyAlignment="1">
      <alignment horizontal="center"/>
    </xf>
    <xf numFmtId="0" fontId="0" fillId="0" borderId="2" xfId="0" applyBorder="1"/>
    <xf numFmtId="0" fontId="1" fillId="0" borderId="2" xfId="0" applyFont="1" applyBorder="1"/>
    <xf numFmtId="0" fontId="4" fillId="0" borderId="2" xfId="0" applyFont="1" applyBorder="1"/>
    <xf numFmtId="0" fontId="4" fillId="4" borderId="2" xfId="0" applyFont="1" applyFill="1" applyBorder="1"/>
    <xf numFmtId="0" fontId="0" fillId="13" borderId="2" xfId="0" applyFill="1" applyBorder="1"/>
    <xf numFmtId="0" fontId="0" fillId="14" borderId="2" xfId="0" applyFill="1" applyBorder="1"/>
    <xf numFmtId="0" fontId="0" fillId="11" borderId="2" xfId="0" applyFill="1" applyBorder="1"/>
    <xf numFmtId="0" fontId="4" fillId="2" borderId="2" xfId="2" applyFont="1" applyFill="1" applyBorder="1" applyAlignment="1">
      <alignment horizontal="center"/>
    </xf>
    <xf numFmtId="0" fontId="4" fillId="0" borderId="2" xfId="2" applyFont="1" applyBorder="1"/>
    <xf numFmtId="0" fontId="4" fillId="4" borderId="2" xfId="2" applyFont="1" applyFill="1" applyBorder="1"/>
    <xf numFmtId="2" fontId="4" fillId="0" borderId="2" xfId="2" applyNumberFormat="1" applyFont="1" applyBorder="1"/>
    <xf numFmtId="0" fontId="4" fillId="5" borderId="2" xfId="2" applyFont="1" applyFill="1" applyBorder="1"/>
    <xf numFmtId="0" fontId="4" fillId="6" borderId="2" xfId="2" applyFont="1" applyFill="1" applyBorder="1"/>
    <xf numFmtId="0" fontId="4" fillId="7" borderId="2" xfId="2" applyFont="1" applyFill="1" applyBorder="1"/>
    <xf numFmtId="0" fontId="4" fillId="8" borderId="2" xfId="2" applyFont="1" applyFill="1" applyBorder="1"/>
    <xf numFmtId="0" fontId="4" fillId="9" borderId="2" xfId="2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3" applyFont="1" applyFill="1" applyBorder="1" applyAlignment="1" applyProtection="1">
      <alignment horizontal="center"/>
    </xf>
    <xf numFmtId="0" fontId="4" fillId="0" borderId="0" xfId="0" applyFont="1" applyAlignment="1">
      <alignment vertical="center"/>
    </xf>
    <xf numFmtId="2" fontId="4" fillId="0" borderId="2" xfId="0" applyNumberFormat="1" applyFont="1" applyBorder="1" applyAlignment="1">
      <alignment vertical="center"/>
    </xf>
    <xf numFmtId="0" fontId="4" fillId="2" borderId="2" xfId="3" applyFont="1" applyFill="1" applyBorder="1" applyAlignment="1" applyProtection="1">
      <alignment horizontal="center" vertical="center"/>
    </xf>
    <xf numFmtId="0" fontId="4" fillId="3" borderId="2" xfId="0" applyFont="1" applyFill="1" applyBorder="1" applyAlignment="1">
      <alignment vertical="center" wrapText="1"/>
    </xf>
    <xf numFmtId="2" fontId="4" fillId="0" borderId="2" xfId="0" applyNumberFormat="1" applyFont="1" applyBorder="1"/>
    <xf numFmtId="0" fontId="4" fillId="5" borderId="2" xfId="0" applyFont="1" applyFill="1" applyBorder="1"/>
    <xf numFmtId="0" fontId="4" fillId="6" borderId="2" xfId="0" applyFont="1" applyFill="1" applyBorder="1"/>
    <xf numFmtId="0" fontId="4" fillId="7" borderId="2" xfId="0" applyFont="1" applyFill="1" applyBorder="1"/>
    <xf numFmtId="0" fontId="4" fillId="8" borderId="2" xfId="0" applyFont="1" applyFill="1" applyBorder="1"/>
    <xf numFmtId="0" fontId="4" fillId="9" borderId="2" xfId="0" applyFont="1" applyFill="1" applyBorder="1"/>
    <xf numFmtId="0" fontId="4" fillId="10" borderId="2" xfId="0" applyFont="1" applyFill="1" applyBorder="1" applyAlignment="1">
      <alignment vertical="center" wrapText="1"/>
    </xf>
    <xf numFmtId="0" fontId="4" fillId="15" borderId="4" xfId="0" applyFont="1" applyFill="1" applyBorder="1" applyAlignment="1">
      <alignment horizontal="center"/>
    </xf>
    <xf numFmtId="0" fontId="10" fillId="15" borderId="4" xfId="0" applyFont="1" applyFill="1" applyBorder="1" applyAlignment="1">
      <alignment horizontal="center"/>
    </xf>
    <xf numFmtId="0" fontId="4" fillId="15" borderId="5" xfId="0" applyFont="1" applyFill="1" applyBorder="1" applyAlignment="1">
      <alignment horizontal="center"/>
    </xf>
    <xf numFmtId="0" fontId="4" fillId="15" borderId="6" xfId="0" applyFont="1" applyFill="1" applyBorder="1" applyAlignment="1">
      <alignment horizontal="center"/>
    </xf>
    <xf numFmtId="0" fontId="4" fillId="15" borderId="7" xfId="0" applyFont="1" applyFill="1" applyBorder="1" applyAlignment="1">
      <alignment horizontal="center"/>
    </xf>
    <xf numFmtId="0" fontId="4" fillId="15" borderId="8" xfId="0" applyFont="1" applyFill="1" applyBorder="1" applyAlignment="1">
      <alignment horizontal="center"/>
    </xf>
    <xf numFmtId="0" fontId="4" fillId="15" borderId="9" xfId="0" applyFont="1" applyFill="1" applyBorder="1" applyAlignment="1">
      <alignment horizontal="center"/>
    </xf>
    <xf numFmtId="0" fontId="4" fillId="15" borderId="10" xfId="0" applyFont="1" applyFill="1" applyBorder="1" applyAlignment="1">
      <alignment horizontal="center"/>
    </xf>
    <xf numFmtId="0" fontId="4" fillId="15" borderId="11" xfId="0" applyFont="1" applyFill="1" applyBorder="1" applyAlignment="1">
      <alignment horizontal="center"/>
    </xf>
    <xf numFmtId="0" fontId="10" fillId="15" borderId="8" xfId="0" applyFont="1" applyFill="1" applyBorder="1" applyAlignment="1">
      <alignment horizontal="center"/>
    </xf>
    <xf numFmtId="0" fontId="4" fillId="0" borderId="12" xfId="0" applyFont="1" applyBorder="1"/>
    <xf numFmtId="0" fontId="4" fillId="0" borderId="12" xfId="0" applyFont="1" applyBorder="1" applyAlignment="1">
      <alignment horizontal="left"/>
    </xf>
    <xf numFmtId="2" fontId="4" fillId="16" borderId="12" xfId="0" applyNumberFormat="1" applyFont="1" applyFill="1" applyBorder="1" applyAlignment="1">
      <alignment horizontal="right"/>
    </xf>
    <xf numFmtId="2" fontId="4" fillId="0" borderId="12" xfId="0" applyNumberFormat="1" applyFont="1" applyBorder="1" applyAlignment="1">
      <alignment horizontal="right"/>
    </xf>
    <xf numFmtId="0" fontId="4" fillId="17" borderId="12" xfId="0" applyFont="1" applyFill="1" applyBorder="1" applyAlignment="1">
      <alignment horizontal="right"/>
    </xf>
    <xf numFmtId="0" fontId="4" fillId="18" borderId="12" xfId="0" applyFont="1" applyFill="1" applyBorder="1" applyAlignment="1">
      <alignment horizontal="right"/>
    </xf>
    <xf numFmtId="0" fontId="4" fillId="19" borderId="12" xfId="0" applyFont="1" applyFill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20" borderId="12" xfId="0" applyFont="1" applyFill="1" applyBorder="1" applyAlignment="1">
      <alignment horizontal="right"/>
    </xf>
    <xf numFmtId="0" fontId="4" fillId="21" borderId="12" xfId="0" applyFont="1" applyFill="1" applyBorder="1" applyAlignment="1">
      <alignment horizontal="right"/>
    </xf>
    <xf numFmtId="0" fontId="4" fillId="0" borderId="0" xfId="0" applyFont="1" applyAlignment="1">
      <alignment horizontal="left"/>
    </xf>
    <xf numFmtId="0" fontId="4" fillId="16" borderId="12" xfId="0" applyFont="1" applyFill="1" applyBorder="1" applyAlignment="1">
      <alignment horizontal="right"/>
    </xf>
    <xf numFmtId="0" fontId="4" fillId="0" borderId="2" xfId="2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22" borderId="12" xfId="0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12" borderId="2" xfId="0" applyFill="1" applyBorder="1" applyAlignment="1">
      <alignment horizontal="center"/>
    </xf>
    <xf numFmtId="0" fontId="4" fillId="2" borderId="1" xfId="1" applyFont="1" applyFill="1" applyBorder="1" applyAlignment="1" applyProtection="1">
      <alignment horizontal="center" vertical="center"/>
    </xf>
    <xf numFmtId="0" fontId="4" fillId="2" borderId="3" xfId="1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4" fillId="2" borderId="1" xfId="3" applyFont="1" applyFill="1" applyBorder="1" applyAlignment="1" applyProtection="1">
      <alignment horizontal="center" vertical="center"/>
    </xf>
    <xf numFmtId="0" fontId="4" fillId="2" borderId="3" xfId="3" applyFont="1" applyFill="1" applyBorder="1" applyAlignment="1" applyProtection="1">
      <alignment horizontal="center" vertical="center"/>
    </xf>
  </cellXfs>
  <cellStyles count="4">
    <cellStyle name="Hyperlink" xfId="1" builtinId="8"/>
    <cellStyle name="Hyperlink 2" xfId="3" xr:uid="{2EAD3BD9-FD70-41E3-8F9C-BF72BB5C7767}"/>
    <cellStyle name="Normal" xfId="0" builtinId="0"/>
    <cellStyle name="Normal 2" xfId="2" xr:uid="{75FB4F08-4A9D-48BF-84AF-BF377224C0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C:\Users\adela\Downloads\Lab%20-%20Room%20Index.pp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file:///C:\Downloads\Lux%20Lamp%20(JKR)%20Update.xls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file:///C:\Downloads\Lab%20-%20Room%20Index.ppt" TargetMode="External"/><Relationship Id="rId1" Type="http://schemas.openxmlformats.org/officeDocument/2006/relationships/hyperlink" Target="file:///C:\Downloads\Lab%20-%20Lumen%20Method%20of%20Calculation.ppt" TargetMode="External"/><Relationship Id="rId6" Type="http://schemas.openxmlformats.org/officeDocument/2006/relationships/hyperlink" Target="file:///C:\Downloads\Lux%20Table%20-%20Illumination%20Level.doc" TargetMode="External"/><Relationship Id="rId5" Type="http://schemas.openxmlformats.org/officeDocument/2006/relationships/hyperlink" Target="file:///C:\Downloads\Lab%20-%20Lighting%20Position.ppt" TargetMode="External"/><Relationship Id="rId4" Type="http://schemas.openxmlformats.org/officeDocument/2006/relationships/hyperlink" Target="file:///C:\Downloads\Lux%20Lamp%20(JKR)%20Update.xls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bawaz\Downloads\Lux%20Lamp%20(JKR)%20Update.xls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file:///C:\Users\bawaz\Downloads\Lab%20-%20Room%20Index.ppt" TargetMode="External"/><Relationship Id="rId1" Type="http://schemas.openxmlformats.org/officeDocument/2006/relationships/hyperlink" Target="file:///C:\Users\bawaz\Downloads\Lab%20-%20Lumen%20Method%20of%20Calculation.ppt" TargetMode="External"/><Relationship Id="rId6" Type="http://schemas.openxmlformats.org/officeDocument/2006/relationships/hyperlink" Target="file:///C:\Users\bawaz\Downloads\Lux%20Table%20-%20Illumination%20Level.doc" TargetMode="External"/><Relationship Id="rId5" Type="http://schemas.openxmlformats.org/officeDocument/2006/relationships/hyperlink" Target="file:///C:\Users\bawaz\Downloads\Lab%20-%20Lighting%20Position.ppt" TargetMode="External"/><Relationship Id="rId4" Type="http://schemas.openxmlformats.org/officeDocument/2006/relationships/hyperlink" Target="file:///C:\Users\bawaz\Downloads\Lux%20Lamp%20(JKR)%20Update.xl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../../Downloads/Lux%20Lamp%20(JKR)%20Update.xls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../../Downloads/Lab%20-%20Room%20Index.ppt" TargetMode="External"/><Relationship Id="rId1" Type="http://schemas.openxmlformats.org/officeDocument/2006/relationships/hyperlink" Target="../../Downloads/Lab%20-%20Lumen%20Method%20of%20Calculation.ppt" TargetMode="External"/><Relationship Id="rId6" Type="http://schemas.openxmlformats.org/officeDocument/2006/relationships/hyperlink" Target="../../Downloads/Lux%20Table%20-%20Illumination%20Level.doc" TargetMode="External"/><Relationship Id="rId5" Type="http://schemas.openxmlformats.org/officeDocument/2006/relationships/hyperlink" Target="../../Downloads/Lab%20-%20Lighting%20Position.ppt" TargetMode="External"/><Relationship Id="rId4" Type="http://schemas.openxmlformats.org/officeDocument/2006/relationships/hyperlink" Target="../../Downloads/Lux%20Lamp%20(JKR)%20Update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BB84-BF16-4B6B-B4EC-568730FB4E64}">
  <dimension ref="B1:X45"/>
  <sheetViews>
    <sheetView tabSelected="1" zoomScale="70" zoomScaleNormal="70" workbookViewId="0">
      <selection activeCell="A33" sqref="A33:XFD33"/>
    </sheetView>
  </sheetViews>
  <sheetFormatPr defaultRowHeight="15" x14ac:dyDescent="0.25"/>
  <cols>
    <col min="1" max="1" width="3.28515625" bestFit="1" customWidth="1"/>
    <col min="2" max="2" width="3.5703125" bestFit="1" customWidth="1"/>
    <col min="3" max="3" width="26.140625" bestFit="1" customWidth="1"/>
    <col min="4" max="4" width="31" customWidth="1"/>
    <col min="5" max="5" width="7.42578125" bestFit="1" customWidth="1"/>
    <col min="6" max="6" width="6.7109375" bestFit="1" customWidth="1"/>
    <col min="7" max="7" width="16.42578125" bestFit="1" customWidth="1"/>
    <col min="8" max="8" width="11.85546875" bestFit="1" customWidth="1"/>
    <col min="9" max="9" width="12.28515625" bestFit="1" customWidth="1"/>
    <col min="10" max="10" width="5.140625" bestFit="1" customWidth="1"/>
    <col min="11" max="11" width="15.7109375" bestFit="1" customWidth="1"/>
    <col min="12" max="12" width="4.140625" bestFit="1" customWidth="1"/>
    <col min="13" max="13" width="16" customWidth="1"/>
    <col min="14" max="14" width="11" bestFit="1" customWidth="1"/>
    <col min="15" max="15" width="25.42578125" customWidth="1"/>
    <col min="16" max="16" width="15.42578125" bestFit="1" customWidth="1"/>
    <col min="17" max="17" width="12.28515625" bestFit="1" customWidth="1"/>
    <col min="18" max="18" width="15.28515625" bestFit="1" customWidth="1"/>
    <col min="19" max="19" width="9.85546875" bestFit="1" customWidth="1"/>
    <col min="20" max="20" width="7.42578125" bestFit="1" customWidth="1"/>
    <col min="21" max="21" width="7.140625" bestFit="1" customWidth="1"/>
    <col min="23" max="23" width="19.5703125" customWidth="1"/>
    <col min="24" max="24" width="14.28515625" customWidth="1"/>
  </cols>
  <sheetData>
    <row r="1" spans="2:24" ht="31.15" customHeight="1" x14ac:dyDescent="0.25">
      <c r="D1" s="69" t="s">
        <v>0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2:24" x14ac:dyDescent="0.25">
      <c r="B2" s="71" t="s">
        <v>1</v>
      </c>
      <c r="C2" s="72" t="s">
        <v>116</v>
      </c>
      <c r="D2" s="72" t="s">
        <v>117</v>
      </c>
      <c r="E2" s="11" t="s">
        <v>2</v>
      </c>
      <c r="F2" s="11" t="s">
        <v>3</v>
      </c>
      <c r="G2" s="12" t="s">
        <v>4</v>
      </c>
      <c r="H2" s="11" t="s">
        <v>5</v>
      </c>
      <c r="I2" s="12" t="s">
        <v>6</v>
      </c>
      <c r="J2" s="70" t="s">
        <v>7</v>
      </c>
      <c r="K2" s="11" t="s">
        <v>8</v>
      </c>
      <c r="L2" s="70" t="s">
        <v>9</v>
      </c>
      <c r="M2" s="11" t="s">
        <v>10</v>
      </c>
      <c r="N2" s="75" t="s">
        <v>11</v>
      </c>
      <c r="O2" s="72" t="s">
        <v>12</v>
      </c>
      <c r="P2" s="11" t="s">
        <v>13</v>
      </c>
      <c r="Q2" s="11" t="s">
        <v>14</v>
      </c>
      <c r="R2" s="11" t="s">
        <v>15</v>
      </c>
      <c r="S2" s="70" t="s">
        <v>106</v>
      </c>
      <c r="T2" s="70" t="s">
        <v>107</v>
      </c>
      <c r="U2" s="70" t="s">
        <v>115</v>
      </c>
    </row>
    <row r="3" spans="2:24" x14ac:dyDescent="0.25">
      <c r="B3" s="71"/>
      <c r="C3" s="73"/>
      <c r="D3" s="73"/>
      <c r="E3" s="11" t="s">
        <v>16</v>
      </c>
      <c r="F3" s="11" t="s">
        <v>17</v>
      </c>
      <c r="G3" s="11" t="s">
        <v>18</v>
      </c>
      <c r="H3" s="11" t="s">
        <v>19</v>
      </c>
      <c r="I3" s="11" t="s">
        <v>20</v>
      </c>
      <c r="J3" s="70"/>
      <c r="K3" s="11" t="s">
        <v>21</v>
      </c>
      <c r="L3" s="70"/>
      <c r="M3" s="11" t="s">
        <v>22</v>
      </c>
      <c r="N3" s="76"/>
      <c r="O3" s="73"/>
      <c r="P3" s="13" t="s">
        <v>97</v>
      </c>
      <c r="Q3" s="11" t="s">
        <v>23</v>
      </c>
      <c r="R3" s="11" t="s">
        <v>24</v>
      </c>
      <c r="S3" s="70"/>
      <c r="T3" s="70"/>
      <c r="U3" s="70"/>
    </row>
    <row r="4" spans="2:24" x14ac:dyDescent="0.25">
      <c r="B4" s="1">
        <v>1</v>
      </c>
      <c r="C4" s="1" t="s">
        <v>25</v>
      </c>
      <c r="D4" s="2" t="s">
        <v>26</v>
      </c>
      <c r="E4" s="3">
        <v>4.9800000000000004</v>
      </c>
      <c r="F4" s="3">
        <v>4</v>
      </c>
      <c r="G4" s="3">
        <v>3.1</v>
      </c>
      <c r="H4" s="1">
        <f t="shared" ref="H4:H45" si="0">E4*F4</f>
        <v>19.920000000000002</v>
      </c>
      <c r="I4" s="1">
        <f t="shared" ref="I4:I45" si="1">(E4*F4)/(G4*(E4+F4))</f>
        <v>0.71556864717292912</v>
      </c>
      <c r="J4" s="4">
        <v>0.32</v>
      </c>
      <c r="K4" s="5">
        <v>300</v>
      </c>
      <c r="L4" s="6">
        <v>0.8</v>
      </c>
      <c r="M4" s="1">
        <f>J4*L4</f>
        <v>0.25600000000000001</v>
      </c>
      <c r="N4" s="10" t="s">
        <v>98</v>
      </c>
      <c r="O4" s="10" t="s">
        <v>103</v>
      </c>
      <c r="P4" s="7">
        <v>6500</v>
      </c>
      <c r="Q4" s="1">
        <f>(H4*K4)/(J4*L4*P4)</f>
        <v>3.5913461538461542</v>
      </c>
      <c r="R4" s="8">
        <v>4</v>
      </c>
      <c r="S4" s="15">
        <v>1.25</v>
      </c>
      <c r="T4" s="15">
        <f>G4*S4</f>
        <v>3.875</v>
      </c>
      <c r="U4" s="15">
        <f>T4/2</f>
        <v>1.9375</v>
      </c>
    </row>
    <row r="5" spans="2:24" x14ac:dyDescent="0.25">
      <c r="B5" s="1">
        <v>2</v>
      </c>
      <c r="C5" s="1" t="s">
        <v>27</v>
      </c>
      <c r="D5" s="9" t="s">
        <v>28</v>
      </c>
      <c r="E5" s="3">
        <v>4.9800000000000004</v>
      </c>
      <c r="F5" s="3">
        <v>4</v>
      </c>
      <c r="G5" s="3">
        <v>3.1</v>
      </c>
      <c r="H5" s="1">
        <f t="shared" si="0"/>
        <v>19.920000000000002</v>
      </c>
      <c r="I5" s="1">
        <f t="shared" si="1"/>
        <v>0.71556864717292912</v>
      </c>
      <c r="J5" s="4">
        <v>0.32</v>
      </c>
      <c r="K5" s="5">
        <v>300</v>
      </c>
      <c r="L5" s="6">
        <v>0.8</v>
      </c>
      <c r="M5" s="1">
        <f>J5*L5</f>
        <v>0.25600000000000001</v>
      </c>
      <c r="N5" s="10" t="s">
        <v>98</v>
      </c>
      <c r="O5" s="10" t="s">
        <v>103</v>
      </c>
      <c r="P5" s="7">
        <v>6500</v>
      </c>
      <c r="Q5" s="1">
        <f t="shared" ref="Q5:Q45" si="2">(H5*K5)/(J5*L5*P5)</f>
        <v>3.5913461538461542</v>
      </c>
      <c r="R5" s="8">
        <v>4</v>
      </c>
      <c r="S5" s="15">
        <v>1.25</v>
      </c>
      <c r="T5" s="15">
        <f t="shared" ref="T5:T45" si="3">G5*S5</f>
        <v>3.875</v>
      </c>
      <c r="U5" s="15">
        <f t="shared" ref="U5:U45" si="4">T5/2</f>
        <v>1.9375</v>
      </c>
    </row>
    <row r="6" spans="2:24" x14ac:dyDescent="0.25">
      <c r="B6" s="1">
        <v>3</v>
      </c>
      <c r="C6" s="1" t="s">
        <v>29</v>
      </c>
      <c r="D6" s="2" t="s">
        <v>30</v>
      </c>
      <c r="E6" s="3">
        <v>6</v>
      </c>
      <c r="F6" s="3">
        <v>4</v>
      </c>
      <c r="G6" s="3">
        <v>3.1</v>
      </c>
      <c r="H6" s="1">
        <f t="shared" si="0"/>
        <v>24</v>
      </c>
      <c r="I6" s="1">
        <f t="shared" si="1"/>
        <v>0.77419354838709675</v>
      </c>
      <c r="J6" s="4">
        <v>0.32</v>
      </c>
      <c r="K6" s="5">
        <v>300</v>
      </c>
      <c r="L6" s="6">
        <v>0.8</v>
      </c>
      <c r="M6" s="1">
        <f t="shared" ref="M6:M45" si="5">J6*L6</f>
        <v>0.25600000000000001</v>
      </c>
      <c r="N6" s="10" t="s">
        <v>98</v>
      </c>
      <c r="O6" s="10" t="s">
        <v>103</v>
      </c>
      <c r="P6" s="7">
        <v>6500</v>
      </c>
      <c r="Q6" s="1">
        <f t="shared" si="2"/>
        <v>4.3269230769230766</v>
      </c>
      <c r="R6" s="8">
        <v>6</v>
      </c>
      <c r="S6" s="15">
        <v>1.25</v>
      </c>
      <c r="T6" s="15">
        <f t="shared" si="3"/>
        <v>3.875</v>
      </c>
      <c r="U6" s="15">
        <f t="shared" si="4"/>
        <v>1.9375</v>
      </c>
    </row>
    <row r="7" spans="2:24" x14ac:dyDescent="0.25">
      <c r="B7" s="1">
        <v>4</v>
      </c>
      <c r="C7" s="15" t="s">
        <v>109</v>
      </c>
      <c r="D7" s="2" t="s">
        <v>108</v>
      </c>
      <c r="E7" s="3">
        <v>6.93</v>
      </c>
      <c r="F7" s="3">
        <v>4</v>
      </c>
      <c r="G7" s="3">
        <v>3.1</v>
      </c>
      <c r="H7" s="1">
        <f t="shared" si="0"/>
        <v>27.72</v>
      </c>
      <c r="I7" s="1">
        <f t="shared" si="1"/>
        <v>0.81810937638343706</v>
      </c>
      <c r="J7" s="4">
        <v>0.38</v>
      </c>
      <c r="K7" s="5">
        <v>300</v>
      </c>
      <c r="L7" s="6">
        <v>0.8</v>
      </c>
      <c r="M7" s="1">
        <f>J7*L7</f>
        <v>0.30400000000000005</v>
      </c>
      <c r="N7" s="10" t="s">
        <v>98</v>
      </c>
      <c r="O7" s="10" t="s">
        <v>103</v>
      </c>
      <c r="P7" s="7">
        <v>6500</v>
      </c>
      <c r="Q7" s="1">
        <f t="shared" si="2"/>
        <v>4.2085020242914979</v>
      </c>
      <c r="R7" s="8">
        <v>6</v>
      </c>
      <c r="S7" s="15">
        <v>1.25</v>
      </c>
      <c r="T7" s="15">
        <f t="shared" si="3"/>
        <v>3.875</v>
      </c>
      <c r="U7" s="15">
        <f t="shared" si="4"/>
        <v>1.9375</v>
      </c>
    </row>
    <row r="8" spans="2:24" x14ac:dyDescent="0.25">
      <c r="B8" s="1">
        <v>5</v>
      </c>
      <c r="C8" s="1" t="s">
        <v>31</v>
      </c>
      <c r="D8" s="9" t="s">
        <v>32</v>
      </c>
      <c r="E8" s="3">
        <v>5.05</v>
      </c>
      <c r="F8" s="3">
        <v>4</v>
      </c>
      <c r="G8" s="3">
        <v>3.8</v>
      </c>
      <c r="H8" s="1">
        <f t="shared" si="0"/>
        <v>20.2</v>
      </c>
      <c r="I8" s="1">
        <f t="shared" si="1"/>
        <v>0.58738005234079671</v>
      </c>
      <c r="J8" s="4">
        <v>0.34</v>
      </c>
      <c r="K8" s="5">
        <v>150</v>
      </c>
      <c r="L8" s="6">
        <v>0.8</v>
      </c>
      <c r="M8" s="1">
        <f t="shared" si="5"/>
        <v>0.27200000000000002</v>
      </c>
      <c r="N8" s="10" t="s">
        <v>101</v>
      </c>
      <c r="O8" s="10" t="s">
        <v>104</v>
      </c>
      <c r="P8" s="7">
        <v>3250</v>
      </c>
      <c r="Q8" s="1">
        <f t="shared" si="2"/>
        <v>3.4276018099547505</v>
      </c>
      <c r="R8" s="8">
        <v>4</v>
      </c>
      <c r="S8" s="15">
        <v>1.25</v>
      </c>
      <c r="T8" s="15">
        <f t="shared" si="3"/>
        <v>4.75</v>
      </c>
      <c r="U8" s="15">
        <f t="shared" si="4"/>
        <v>2.375</v>
      </c>
    </row>
    <row r="9" spans="2:24" x14ac:dyDescent="0.25">
      <c r="B9" s="1">
        <v>6</v>
      </c>
      <c r="C9" s="1" t="s">
        <v>33</v>
      </c>
      <c r="D9" s="2" t="s">
        <v>34</v>
      </c>
      <c r="E9" s="3">
        <v>3.98</v>
      </c>
      <c r="F9" s="3">
        <v>3.25</v>
      </c>
      <c r="G9" s="3">
        <v>3.1</v>
      </c>
      <c r="H9" s="1">
        <f t="shared" si="0"/>
        <v>12.935</v>
      </c>
      <c r="I9" s="1">
        <f t="shared" si="1"/>
        <v>0.5771204211841342</v>
      </c>
      <c r="J9" s="4">
        <v>0.32</v>
      </c>
      <c r="K9" s="5">
        <v>300</v>
      </c>
      <c r="L9" s="6">
        <v>0.8</v>
      </c>
      <c r="M9" s="1">
        <f t="shared" si="5"/>
        <v>0.25600000000000001</v>
      </c>
      <c r="N9" s="1" t="s">
        <v>98</v>
      </c>
      <c r="O9" s="1" t="s">
        <v>103</v>
      </c>
      <c r="P9" s="7">
        <v>6500</v>
      </c>
      <c r="Q9" s="1">
        <f t="shared" si="2"/>
        <v>2.33203125</v>
      </c>
      <c r="R9" s="8">
        <v>4</v>
      </c>
      <c r="S9" s="15">
        <v>1.25</v>
      </c>
      <c r="T9" s="15">
        <f t="shared" si="3"/>
        <v>3.875</v>
      </c>
      <c r="U9" s="15">
        <f t="shared" si="4"/>
        <v>1.9375</v>
      </c>
      <c r="W9" s="74" t="s">
        <v>114</v>
      </c>
      <c r="X9" s="74"/>
    </row>
    <row r="10" spans="2:24" x14ac:dyDescent="0.25">
      <c r="B10" s="1">
        <v>7</v>
      </c>
      <c r="C10" s="1" t="s">
        <v>113</v>
      </c>
      <c r="D10" s="9" t="s">
        <v>110</v>
      </c>
      <c r="E10" s="3">
        <v>3.98</v>
      </c>
      <c r="F10" s="3">
        <v>3.27</v>
      </c>
      <c r="G10" s="3">
        <v>3.1</v>
      </c>
      <c r="H10" s="1">
        <f t="shared" si="0"/>
        <v>13.0146</v>
      </c>
      <c r="I10" s="1">
        <f t="shared" si="1"/>
        <v>0.57907007786429365</v>
      </c>
      <c r="J10" s="4">
        <v>0.34</v>
      </c>
      <c r="K10" s="5">
        <v>300</v>
      </c>
      <c r="L10" s="6">
        <v>0.8</v>
      </c>
      <c r="M10" s="1">
        <f t="shared" si="5"/>
        <v>0.27200000000000002</v>
      </c>
      <c r="N10" s="1" t="s">
        <v>101</v>
      </c>
      <c r="O10" s="1" t="s">
        <v>104</v>
      </c>
      <c r="P10" s="7">
        <v>3250</v>
      </c>
      <c r="Q10" s="1">
        <f t="shared" si="2"/>
        <v>4.4167194570135742</v>
      </c>
      <c r="R10" s="8">
        <v>6</v>
      </c>
      <c r="S10" s="15">
        <v>1.25</v>
      </c>
      <c r="T10" s="15">
        <f t="shared" si="3"/>
        <v>3.875</v>
      </c>
      <c r="U10" s="15">
        <f t="shared" si="4"/>
        <v>1.9375</v>
      </c>
      <c r="W10" s="18" t="s">
        <v>103</v>
      </c>
      <c r="X10" s="14">
        <f>SUM(R4,R5,R6,R7,R9,R11,R12,R13,R16,R19,R20,R23,R24)</f>
        <v>70</v>
      </c>
    </row>
    <row r="11" spans="2:24" x14ac:dyDescent="0.25">
      <c r="B11" s="1">
        <v>8</v>
      </c>
      <c r="C11" s="1" t="s">
        <v>35</v>
      </c>
      <c r="D11" s="2" t="s">
        <v>36</v>
      </c>
      <c r="E11" s="3">
        <v>3.98</v>
      </c>
      <c r="F11" s="3">
        <v>3.25</v>
      </c>
      <c r="G11" s="3">
        <v>3.1</v>
      </c>
      <c r="H11" s="1">
        <f t="shared" si="0"/>
        <v>12.935</v>
      </c>
      <c r="I11" s="1">
        <f t="shared" si="1"/>
        <v>0.5771204211841342</v>
      </c>
      <c r="J11" s="4">
        <v>0.32</v>
      </c>
      <c r="K11" s="5">
        <v>300</v>
      </c>
      <c r="L11" s="6">
        <v>0.8</v>
      </c>
      <c r="M11" s="1">
        <f t="shared" si="5"/>
        <v>0.25600000000000001</v>
      </c>
      <c r="N11" s="1" t="s">
        <v>98</v>
      </c>
      <c r="O11" s="1" t="s">
        <v>103</v>
      </c>
      <c r="P11" s="7">
        <v>6500</v>
      </c>
      <c r="Q11" s="1">
        <f t="shared" si="2"/>
        <v>2.33203125</v>
      </c>
      <c r="R11" s="8">
        <v>4</v>
      </c>
      <c r="S11" s="15">
        <v>1.25</v>
      </c>
      <c r="T11" s="15">
        <f t="shared" si="3"/>
        <v>3.875</v>
      </c>
      <c r="U11" s="15">
        <f t="shared" si="4"/>
        <v>1.9375</v>
      </c>
      <c r="W11" s="19" t="s">
        <v>104</v>
      </c>
      <c r="X11" s="14">
        <f>SUM(R8,R10,R14,R15,R17,R18,R26,R25,R27,R28,R29,R30,R31,R32,R33,R34,R35,R36,R37,R38,R39,R40,R41,R42,R43,R44,R45)</f>
        <v>58</v>
      </c>
    </row>
    <row r="12" spans="2:24" x14ac:dyDescent="0.25">
      <c r="B12" s="1">
        <v>9</v>
      </c>
      <c r="C12" s="1" t="s">
        <v>37</v>
      </c>
      <c r="D12" s="9" t="s">
        <v>38</v>
      </c>
      <c r="E12" s="3">
        <v>3.98</v>
      </c>
      <c r="F12" s="3">
        <v>3.27</v>
      </c>
      <c r="G12" s="3">
        <v>3.1</v>
      </c>
      <c r="H12" s="1">
        <f t="shared" si="0"/>
        <v>13.0146</v>
      </c>
      <c r="I12" s="1">
        <f t="shared" si="1"/>
        <v>0.57907007786429365</v>
      </c>
      <c r="J12" s="4">
        <v>0.32</v>
      </c>
      <c r="K12" s="5">
        <v>300</v>
      </c>
      <c r="L12" s="6">
        <v>0.8</v>
      </c>
      <c r="M12" s="1">
        <f t="shared" si="5"/>
        <v>0.25600000000000001</v>
      </c>
      <c r="N12" s="1" t="s">
        <v>98</v>
      </c>
      <c r="O12" s="10" t="s">
        <v>103</v>
      </c>
      <c r="P12" s="7">
        <v>6500</v>
      </c>
      <c r="Q12" s="1">
        <f t="shared" si="2"/>
        <v>2.3463822115384616</v>
      </c>
      <c r="R12" s="8">
        <v>4</v>
      </c>
      <c r="S12" s="15">
        <v>1.25</v>
      </c>
      <c r="T12" s="15">
        <f t="shared" si="3"/>
        <v>3.875</v>
      </c>
      <c r="U12" s="15">
        <f t="shared" si="4"/>
        <v>1.9375</v>
      </c>
      <c r="W12" s="20" t="s">
        <v>105</v>
      </c>
      <c r="X12" s="14">
        <f>R21+R22</f>
        <v>12</v>
      </c>
    </row>
    <row r="13" spans="2:24" x14ac:dyDescent="0.25">
      <c r="B13" s="1">
        <v>10</v>
      </c>
      <c r="C13" s="1" t="s">
        <v>39</v>
      </c>
      <c r="D13" s="2" t="s">
        <v>40</v>
      </c>
      <c r="E13" s="3">
        <v>6</v>
      </c>
      <c r="F13" s="3">
        <v>4</v>
      </c>
      <c r="G13" s="3">
        <v>3.1</v>
      </c>
      <c r="H13" s="1">
        <f t="shared" si="0"/>
        <v>24</v>
      </c>
      <c r="I13" s="1">
        <f t="shared" si="1"/>
        <v>0.77419354838709675</v>
      </c>
      <c r="J13" s="4">
        <v>0.32</v>
      </c>
      <c r="K13" s="5">
        <v>300</v>
      </c>
      <c r="L13" s="6">
        <v>0.8</v>
      </c>
      <c r="M13" s="1">
        <f t="shared" si="5"/>
        <v>0.25600000000000001</v>
      </c>
      <c r="N13" s="10" t="s">
        <v>98</v>
      </c>
      <c r="O13" s="10" t="s">
        <v>103</v>
      </c>
      <c r="P13" s="7">
        <v>6500</v>
      </c>
      <c r="Q13" s="1">
        <f t="shared" si="2"/>
        <v>4.3269230769230766</v>
      </c>
      <c r="R13" s="8">
        <v>6</v>
      </c>
      <c r="S13" s="15">
        <v>1.25</v>
      </c>
      <c r="T13" s="15">
        <f t="shared" si="3"/>
        <v>3.875</v>
      </c>
      <c r="U13" s="15">
        <f t="shared" si="4"/>
        <v>1.9375</v>
      </c>
    </row>
    <row r="14" spans="2:24" ht="15" customHeight="1" x14ac:dyDescent="0.25">
      <c r="B14" s="1">
        <v>11</v>
      </c>
      <c r="C14" s="1" t="s">
        <v>41</v>
      </c>
      <c r="D14" s="9" t="s">
        <v>42</v>
      </c>
      <c r="E14" s="3">
        <v>2.65</v>
      </c>
      <c r="F14" s="3">
        <v>2</v>
      </c>
      <c r="G14" s="3">
        <v>3.8</v>
      </c>
      <c r="H14" s="1">
        <f>E14*F14</f>
        <v>5.3</v>
      </c>
      <c r="I14" s="1">
        <f t="shared" si="1"/>
        <v>0.29994340690435761</v>
      </c>
      <c r="J14" s="4">
        <v>0.34</v>
      </c>
      <c r="K14" s="5">
        <v>150</v>
      </c>
      <c r="L14" s="6">
        <v>0.8</v>
      </c>
      <c r="M14" s="1">
        <f t="shared" si="5"/>
        <v>0.27200000000000002</v>
      </c>
      <c r="N14" s="10" t="s">
        <v>101</v>
      </c>
      <c r="O14" s="10" t="s">
        <v>104</v>
      </c>
      <c r="P14" s="7">
        <v>3250</v>
      </c>
      <c r="Q14" s="1">
        <f t="shared" si="2"/>
        <v>0.89932126696832571</v>
      </c>
      <c r="R14" s="8">
        <v>1</v>
      </c>
      <c r="S14" s="15">
        <v>1.25</v>
      </c>
      <c r="T14" s="15">
        <f t="shared" si="3"/>
        <v>4.75</v>
      </c>
      <c r="U14" s="15">
        <f t="shared" si="4"/>
        <v>2.375</v>
      </c>
    </row>
    <row r="15" spans="2:24" x14ac:dyDescent="0.25">
      <c r="B15" s="1">
        <v>12</v>
      </c>
      <c r="C15" s="1" t="s">
        <v>31</v>
      </c>
      <c r="D15" s="2" t="s">
        <v>32</v>
      </c>
      <c r="E15" s="3">
        <v>3.0449999999999999</v>
      </c>
      <c r="F15" s="3">
        <v>2</v>
      </c>
      <c r="G15" s="3">
        <v>3.8</v>
      </c>
      <c r="H15" s="1">
        <f t="shared" si="0"/>
        <v>6.09</v>
      </c>
      <c r="I15" s="1">
        <f t="shared" si="1"/>
        <v>0.3176673099994784</v>
      </c>
      <c r="J15" s="4">
        <v>0.34</v>
      </c>
      <c r="K15" s="5">
        <v>150</v>
      </c>
      <c r="L15" s="6">
        <v>0.8</v>
      </c>
      <c r="M15" s="1">
        <f t="shared" si="5"/>
        <v>0.27200000000000002</v>
      </c>
      <c r="N15" s="10" t="s">
        <v>101</v>
      </c>
      <c r="O15" s="10" t="s">
        <v>104</v>
      </c>
      <c r="P15" s="7">
        <v>3250</v>
      </c>
      <c r="Q15" s="1">
        <f t="shared" si="2"/>
        <v>1.0333710407239818</v>
      </c>
      <c r="R15" s="8">
        <v>2</v>
      </c>
      <c r="S15" s="15">
        <v>1.25</v>
      </c>
      <c r="T15" s="15">
        <f t="shared" si="3"/>
        <v>4.75</v>
      </c>
      <c r="U15" s="15">
        <f t="shared" si="4"/>
        <v>2.375</v>
      </c>
    </row>
    <row r="16" spans="2:24" x14ac:dyDescent="0.25">
      <c r="B16" s="1">
        <v>13</v>
      </c>
      <c r="C16" s="1" t="s">
        <v>39</v>
      </c>
      <c r="D16" s="2" t="s">
        <v>40</v>
      </c>
      <c r="E16" s="3">
        <v>11.425000000000001</v>
      </c>
      <c r="F16" s="3">
        <v>7</v>
      </c>
      <c r="G16" s="3">
        <v>3.1</v>
      </c>
      <c r="H16" s="1">
        <f t="shared" si="0"/>
        <v>79.975000000000009</v>
      </c>
      <c r="I16" s="1">
        <f t="shared" si="1"/>
        <v>1.4001838315752615</v>
      </c>
      <c r="J16" s="4">
        <v>0.46</v>
      </c>
      <c r="K16" s="5">
        <v>300</v>
      </c>
      <c r="L16" s="6">
        <v>0.8</v>
      </c>
      <c r="M16" s="1">
        <f t="shared" si="5"/>
        <v>0.36800000000000005</v>
      </c>
      <c r="N16" s="10" t="s">
        <v>98</v>
      </c>
      <c r="O16" s="10" t="s">
        <v>103</v>
      </c>
      <c r="P16" s="7">
        <v>6500</v>
      </c>
      <c r="Q16" s="1">
        <f t="shared" si="2"/>
        <v>10.030309364548495</v>
      </c>
      <c r="R16" s="8">
        <v>12</v>
      </c>
      <c r="S16" s="15">
        <v>1.25</v>
      </c>
      <c r="T16" s="15">
        <f t="shared" si="3"/>
        <v>3.875</v>
      </c>
      <c r="U16" s="15">
        <f t="shared" si="4"/>
        <v>1.9375</v>
      </c>
    </row>
    <row r="17" spans="2:23" x14ac:dyDescent="0.25">
      <c r="B17" s="1">
        <v>14</v>
      </c>
      <c r="C17" s="1" t="s">
        <v>43</v>
      </c>
      <c r="D17" s="9" t="s">
        <v>44</v>
      </c>
      <c r="E17" s="3">
        <v>12.15</v>
      </c>
      <c r="F17" s="3">
        <v>4</v>
      </c>
      <c r="G17" s="3">
        <v>3.8</v>
      </c>
      <c r="H17" s="1">
        <f t="shared" si="0"/>
        <v>48.6</v>
      </c>
      <c r="I17" s="1">
        <f t="shared" si="1"/>
        <v>0.79191787518331447</v>
      </c>
      <c r="J17" s="4">
        <v>0.34</v>
      </c>
      <c r="K17" s="5">
        <v>100</v>
      </c>
      <c r="L17" s="6">
        <v>0.8</v>
      </c>
      <c r="M17" s="1">
        <f t="shared" si="5"/>
        <v>0.27200000000000002</v>
      </c>
      <c r="N17" s="10" t="s">
        <v>101</v>
      </c>
      <c r="O17" s="10" t="s">
        <v>104</v>
      </c>
      <c r="P17" s="7">
        <v>3250</v>
      </c>
      <c r="Q17" s="1">
        <f t="shared" si="2"/>
        <v>5.4977375565610851</v>
      </c>
      <c r="R17" s="8">
        <v>6</v>
      </c>
      <c r="S17" s="15">
        <v>1.25</v>
      </c>
      <c r="T17" s="15">
        <f t="shared" si="3"/>
        <v>4.75</v>
      </c>
      <c r="U17" s="15">
        <f t="shared" si="4"/>
        <v>2.375</v>
      </c>
      <c r="W17">
        <f>R4+R5+R6+R7+R9+R11+R12+R13+R16+R19+R20+R23+R24</f>
        <v>70</v>
      </c>
    </row>
    <row r="18" spans="2:23" x14ac:dyDescent="0.25">
      <c r="B18" s="1">
        <v>15</v>
      </c>
      <c r="C18" s="1" t="s">
        <v>45</v>
      </c>
      <c r="D18" s="1" t="s">
        <v>46</v>
      </c>
      <c r="E18" s="3">
        <v>7.4249999999999998</v>
      </c>
      <c r="F18" s="3">
        <v>3</v>
      </c>
      <c r="G18" s="3">
        <v>3.8</v>
      </c>
      <c r="H18" s="1">
        <f t="shared" si="0"/>
        <v>22.274999999999999</v>
      </c>
      <c r="I18" s="1">
        <f t="shared" si="1"/>
        <v>0.56228701249526691</v>
      </c>
      <c r="J18" s="4">
        <v>0.34</v>
      </c>
      <c r="K18" s="5">
        <v>100</v>
      </c>
      <c r="L18" s="6">
        <v>0.8</v>
      </c>
      <c r="M18" s="1">
        <f t="shared" si="5"/>
        <v>0.27200000000000002</v>
      </c>
      <c r="N18" s="10" t="s">
        <v>101</v>
      </c>
      <c r="O18" s="10" t="s">
        <v>104</v>
      </c>
      <c r="P18" s="7">
        <v>3250</v>
      </c>
      <c r="Q18" s="1">
        <f t="shared" si="2"/>
        <v>2.5197963800904972</v>
      </c>
      <c r="R18" s="8">
        <v>4</v>
      </c>
      <c r="S18" s="15">
        <v>1.25</v>
      </c>
      <c r="T18" s="15">
        <f t="shared" si="3"/>
        <v>4.75</v>
      </c>
      <c r="U18" s="15">
        <f t="shared" si="4"/>
        <v>2.375</v>
      </c>
      <c r="W18">
        <f>R8+R10+R14+R15+R17+R18+R25+R26+R27+R28+R29+R30+R31+R32+R33+R34+R35+R36+R37+R38+R39+R40+R41+R42+R43+R44+R45</f>
        <v>58</v>
      </c>
    </row>
    <row r="19" spans="2:23" x14ac:dyDescent="0.25">
      <c r="B19" s="1">
        <v>16</v>
      </c>
      <c r="C19" s="1" t="s">
        <v>100</v>
      </c>
      <c r="D19" s="1" t="s">
        <v>99</v>
      </c>
      <c r="E19" s="3">
        <v>9.5</v>
      </c>
      <c r="F19" s="3">
        <v>8</v>
      </c>
      <c r="G19" s="3">
        <v>3.1</v>
      </c>
      <c r="H19" s="1">
        <f t="shared" si="0"/>
        <v>76</v>
      </c>
      <c r="I19" s="1">
        <f t="shared" si="1"/>
        <v>1.400921658986175</v>
      </c>
      <c r="J19" s="4">
        <v>0.46</v>
      </c>
      <c r="K19" s="5">
        <v>300</v>
      </c>
      <c r="L19" s="6">
        <v>0.8</v>
      </c>
      <c r="M19" s="1">
        <f t="shared" si="5"/>
        <v>0.36800000000000005</v>
      </c>
      <c r="N19" s="10" t="s">
        <v>98</v>
      </c>
      <c r="O19" s="10" t="s">
        <v>103</v>
      </c>
      <c r="P19" s="7">
        <v>6500</v>
      </c>
      <c r="Q19" s="1">
        <f t="shared" si="2"/>
        <v>9.5317725752508338</v>
      </c>
      <c r="R19" s="8">
        <v>10</v>
      </c>
      <c r="S19" s="15">
        <v>1.25</v>
      </c>
      <c r="T19" s="15">
        <f t="shared" si="3"/>
        <v>3.875</v>
      </c>
      <c r="U19" s="15">
        <f t="shared" si="4"/>
        <v>1.9375</v>
      </c>
    </row>
    <row r="20" spans="2:23" x14ac:dyDescent="0.25">
      <c r="B20" s="1">
        <v>17</v>
      </c>
      <c r="C20" s="1" t="s">
        <v>47</v>
      </c>
      <c r="D20" s="1" t="s">
        <v>48</v>
      </c>
      <c r="E20" s="3">
        <v>6.48</v>
      </c>
      <c r="F20" s="3">
        <v>4</v>
      </c>
      <c r="G20" s="3">
        <v>3.1</v>
      </c>
      <c r="H20" s="1">
        <f t="shared" si="0"/>
        <v>25.92</v>
      </c>
      <c r="I20" s="1">
        <f t="shared" si="1"/>
        <v>0.7978330460477715</v>
      </c>
      <c r="J20" s="4">
        <v>0.32</v>
      </c>
      <c r="K20" s="5">
        <v>300</v>
      </c>
      <c r="L20" s="6">
        <v>0.8</v>
      </c>
      <c r="M20" s="1">
        <f t="shared" si="5"/>
        <v>0.25600000000000001</v>
      </c>
      <c r="N20" s="10" t="s">
        <v>98</v>
      </c>
      <c r="O20" s="10" t="s">
        <v>103</v>
      </c>
      <c r="P20" s="7">
        <v>6500</v>
      </c>
      <c r="Q20" s="1">
        <f t="shared" si="2"/>
        <v>4.6730769230769234</v>
      </c>
      <c r="R20" s="8">
        <v>6</v>
      </c>
      <c r="S20" s="15">
        <v>1.25</v>
      </c>
      <c r="T20" s="15">
        <f t="shared" si="3"/>
        <v>3.875</v>
      </c>
      <c r="U20" s="15">
        <f t="shared" si="4"/>
        <v>1.9375</v>
      </c>
    </row>
    <row r="21" spans="2:23" x14ac:dyDescent="0.25">
      <c r="B21" s="1">
        <v>18</v>
      </c>
      <c r="C21" s="1" t="s">
        <v>49</v>
      </c>
      <c r="D21" s="1" t="s">
        <v>50</v>
      </c>
      <c r="E21" s="3">
        <v>4.9800000000000004</v>
      </c>
      <c r="F21" s="3">
        <v>3.75</v>
      </c>
      <c r="G21" s="3">
        <v>3.8</v>
      </c>
      <c r="H21" s="1">
        <f t="shared" si="0"/>
        <v>18.675000000000001</v>
      </c>
      <c r="I21" s="1">
        <f t="shared" si="1"/>
        <v>0.5629408572978839</v>
      </c>
      <c r="J21" s="4">
        <v>0.35</v>
      </c>
      <c r="K21" s="5">
        <v>100</v>
      </c>
      <c r="L21" s="6">
        <v>0.8</v>
      </c>
      <c r="M21" s="1">
        <f t="shared" si="5"/>
        <v>0.27999999999999997</v>
      </c>
      <c r="N21" s="1" t="s">
        <v>102</v>
      </c>
      <c r="O21" s="10" t="s">
        <v>105</v>
      </c>
      <c r="P21" s="7">
        <v>1300</v>
      </c>
      <c r="Q21" s="1">
        <f t="shared" si="2"/>
        <v>5.1304945054945064</v>
      </c>
      <c r="R21" s="8">
        <v>6</v>
      </c>
      <c r="S21" s="15">
        <v>1.25</v>
      </c>
      <c r="T21" s="15">
        <f t="shared" si="3"/>
        <v>4.75</v>
      </c>
      <c r="U21" s="15">
        <f t="shared" si="4"/>
        <v>2.375</v>
      </c>
    </row>
    <row r="22" spans="2:23" x14ac:dyDescent="0.25">
      <c r="B22" s="1">
        <v>19</v>
      </c>
      <c r="C22" s="1" t="s">
        <v>51</v>
      </c>
      <c r="D22" s="1" t="s">
        <v>52</v>
      </c>
      <c r="E22" s="3">
        <v>4.9800000000000004</v>
      </c>
      <c r="F22" s="3">
        <v>3.6749999999999998</v>
      </c>
      <c r="G22" s="3">
        <v>3.8</v>
      </c>
      <c r="H22" s="1">
        <f t="shared" si="0"/>
        <v>18.301500000000001</v>
      </c>
      <c r="I22" s="1">
        <f t="shared" si="1"/>
        <v>0.55646264708565174</v>
      </c>
      <c r="J22" s="4">
        <v>0.35</v>
      </c>
      <c r="K22" s="5">
        <v>100</v>
      </c>
      <c r="L22" s="6">
        <v>0.8</v>
      </c>
      <c r="M22" s="1">
        <f t="shared" si="5"/>
        <v>0.27999999999999997</v>
      </c>
      <c r="N22" s="10" t="s">
        <v>102</v>
      </c>
      <c r="O22" s="10" t="s">
        <v>105</v>
      </c>
      <c r="P22" s="7">
        <v>1300</v>
      </c>
      <c r="Q22" s="1">
        <f t="shared" si="2"/>
        <v>5.0278846153846164</v>
      </c>
      <c r="R22" s="8">
        <v>6</v>
      </c>
      <c r="S22" s="15">
        <v>1.25</v>
      </c>
      <c r="T22" s="15">
        <f t="shared" si="3"/>
        <v>4.75</v>
      </c>
      <c r="U22" s="15">
        <f t="shared" si="4"/>
        <v>2.375</v>
      </c>
    </row>
    <row r="23" spans="2:23" x14ac:dyDescent="0.25">
      <c r="B23" s="1">
        <v>20</v>
      </c>
      <c r="C23" s="1" t="s">
        <v>53</v>
      </c>
      <c r="D23" s="1" t="s">
        <v>54</v>
      </c>
      <c r="E23" s="3">
        <v>3.4</v>
      </c>
      <c r="F23" s="3">
        <v>2.85</v>
      </c>
      <c r="G23" s="3">
        <v>3.8</v>
      </c>
      <c r="H23" s="1">
        <f t="shared" si="0"/>
        <v>9.69</v>
      </c>
      <c r="I23" s="1">
        <f t="shared" si="1"/>
        <v>0.40799999999999997</v>
      </c>
      <c r="J23" s="4">
        <v>0.32</v>
      </c>
      <c r="K23" s="5">
        <v>300</v>
      </c>
      <c r="L23" s="6">
        <v>0.8</v>
      </c>
      <c r="M23" s="1">
        <f t="shared" si="5"/>
        <v>0.25600000000000001</v>
      </c>
      <c r="N23" s="10" t="s">
        <v>98</v>
      </c>
      <c r="O23" s="10" t="s">
        <v>103</v>
      </c>
      <c r="P23" s="7">
        <v>6500</v>
      </c>
      <c r="Q23" s="1">
        <f t="shared" si="2"/>
        <v>1.7469951923076923</v>
      </c>
      <c r="R23" s="8">
        <v>2</v>
      </c>
      <c r="S23" s="15">
        <v>1.25</v>
      </c>
      <c r="T23" s="15">
        <f t="shared" si="3"/>
        <v>4.75</v>
      </c>
      <c r="U23" s="15">
        <f t="shared" si="4"/>
        <v>2.375</v>
      </c>
    </row>
    <row r="24" spans="2:23" x14ac:dyDescent="0.25">
      <c r="B24" s="1">
        <v>21</v>
      </c>
      <c r="C24" s="1" t="s">
        <v>55</v>
      </c>
      <c r="D24" s="1" t="s">
        <v>56</v>
      </c>
      <c r="E24" s="3">
        <v>4.2</v>
      </c>
      <c r="F24" s="3">
        <v>2.0750000000000002</v>
      </c>
      <c r="G24" s="3">
        <v>3.8</v>
      </c>
      <c r="H24" s="1">
        <f t="shared" si="0"/>
        <v>8.7150000000000016</v>
      </c>
      <c r="I24" s="1">
        <f t="shared" si="1"/>
        <v>0.36548542671419593</v>
      </c>
      <c r="J24" s="4">
        <v>0.32</v>
      </c>
      <c r="K24" s="5">
        <v>300</v>
      </c>
      <c r="L24" s="6">
        <v>0.8</v>
      </c>
      <c r="M24" s="1">
        <f t="shared" si="5"/>
        <v>0.25600000000000001</v>
      </c>
      <c r="N24" s="10" t="s">
        <v>98</v>
      </c>
      <c r="O24" s="10" t="s">
        <v>103</v>
      </c>
      <c r="P24" s="7">
        <v>6500</v>
      </c>
      <c r="Q24" s="1">
        <f t="shared" si="2"/>
        <v>1.5712139423076925</v>
      </c>
      <c r="R24" s="8">
        <v>2</v>
      </c>
      <c r="S24" s="15">
        <v>1.25</v>
      </c>
      <c r="T24" s="15">
        <f t="shared" si="3"/>
        <v>4.75</v>
      </c>
      <c r="U24" s="15">
        <f t="shared" si="4"/>
        <v>2.375</v>
      </c>
    </row>
    <row r="25" spans="2:23" x14ac:dyDescent="0.25">
      <c r="B25" s="1">
        <v>22</v>
      </c>
      <c r="C25" s="1" t="s">
        <v>112</v>
      </c>
      <c r="D25" s="1" t="s">
        <v>111</v>
      </c>
      <c r="E25" s="3">
        <v>6</v>
      </c>
      <c r="F25" s="3">
        <v>2.65</v>
      </c>
      <c r="G25" s="3">
        <v>3.1</v>
      </c>
      <c r="H25" s="1">
        <f t="shared" si="0"/>
        <v>15.899999999999999</v>
      </c>
      <c r="I25" s="1">
        <f t="shared" si="1"/>
        <v>0.59295170613462611</v>
      </c>
      <c r="J25" s="4">
        <v>0.34</v>
      </c>
      <c r="K25" s="5">
        <v>100</v>
      </c>
      <c r="L25" s="6">
        <v>0.8</v>
      </c>
      <c r="M25" s="1">
        <f t="shared" si="5"/>
        <v>0.27200000000000002</v>
      </c>
      <c r="N25" s="10" t="s">
        <v>101</v>
      </c>
      <c r="O25" s="10" t="s">
        <v>104</v>
      </c>
      <c r="P25" s="7">
        <v>3250</v>
      </c>
      <c r="Q25" s="1">
        <f t="shared" si="2"/>
        <v>1.7986425339366512</v>
      </c>
      <c r="R25" s="8">
        <v>2</v>
      </c>
      <c r="S25" s="15">
        <v>1.25</v>
      </c>
      <c r="T25" s="15">
        <f t="shared" si="3"/>
        <v>3.875</v>
      </c>
      <c r="U25" s="15">
        <f t="shared" si="4"/>
        <v>1.9375</v>
      </c>
    </row>
    <row r="26" spans="2:23" x14ac:dyDescent="0.25">
      <c r="B26" s="1">
        <v>23</v>
      </c>
      <c r="C26" s="16" t="s">
        <v>57</v>
      </c>
      <c r="D26" s="16" t="s">
        <v>58</v>
      </c>
      <c r="E26" s="17">
        <v>8.4459999999999997</v>
      </c>
      <c r="F26" s="17">
        <v>8.2750000000000004</v>
      </c>
      <c r="G26" s="3">
        <v>3.8</v>
      </c>
      <c r="H26" s="1">
        <f>E26*F26</f>
        <v>69.890649999999994</v>
      </c>
      <c r="I26" s="1">
        <f>(E26*F26)/(G26*(E26+F26))</f>
        <v>1.0999507395364794</v>
      </c>
      <c r="J26" s="4">
        <v>0.45</v>
      </c>
      <c r="K26" s="5">
        <v>50</v>
      </c>
      <c r="L26" s="6">
        <v>0.8</v>
      </c>
      <c r="M26" s="1">
        <f t="shared" si="5"/>
        <v>0.36000000000000004</v>
      </c>
      <c r="N26" s="10" t="s">
        <v>101</v>
      </c>
      <c r="O26" s="10" t="s">
        <v>104</v>
      </c>
      <c r="P26" s="7">
        <v>3250</v>
      </c>
      <c r="Q26" s="1">
        <f t="shared" si="2"/>
        <v>2.9867799145299139</v>
      </c>
      <c r="R26" s="8">
        <v>5</v>
      </c>
      <c r="S26" s="15">
        <v>1.25</v>
      </c>
      <c r="T26" s="15">
        <f t="shared" si="3"/>
        <v>4.75</v>
      </c>
      <c r="U26" s="15">
        <f t="shared" si="4"/>
        <v>2.375</v>
      </c>
    </row>
    <row r="27" spans="2:23" x14ac:dyDescent="0.25">
      <c r="B27" s="1">
        <v>24</v>
      </c>
      <c r="C27" s="1" t="s">
        <v>59</v>
      </c>
      <c r="D27" s="1" t="s">
        <v>60</v>
      </c>
      <c r="E27" s="3">
        <v>9.1999999999999993</v>
      </c>
      <c r="F27" s="3">
        <v>1.125</v>
      </c>
      <c r="G27" s="3">
        <v>2.6</v>
      </c>
      <c r="H27" s="1">
        <f t="shared" si="0"/>
        <v>10.35</v>
      </c>
      <c r="I27" s="1">
        <f t="shared" si="1"/>
        <v>0.3855466567330974</v>
      </c>
      <c r="J27" s="4">
        <v>0.34</v>
      </c>
      <c r="K27" s="5">
        <v>100</v>
      </c>
      <c r="L27" s="6">
        <v>0.8</v>
      </c>
      <c r="M27" s="1">
        <f t="shared" si="5"/>
        <v>0.27200000000000002</v>
      </c>
      <c r="N27" s="10" t="s">
        <v>101</v>
      </c>
      <c r="O27" s="10" t="s">
        <v>104</v>
      </c>
      <c r="P27" s="7">
        <v>3250</v>
      </c>
      <c r="Q27" s="1">
        <f t="shared" si="2"/>
        <v>1.1708144796380089</v>
      </c>
      <c r="R27" s="8">
        <v>2</v>
      </c>
      <c r="S27" s="15">
        <v>1.25</v>
      </c>
      <c r="T27" s="15">
        <f t="shared" si="3"/>
        <v>3.25</v>
      </c>
      <c r="U27" s="15">
        <f t="shared" si="4"/>
        <v>1.625</v>
      </c>
    </row>
    <row r="28" spans="2:23" x14ac:dyDescent="0.25">
      <c r="B28" s="1">
        <v>25</v>
      </c>
      <c r="C28" s="1" t="s">
        <v>61</v>
      </c>
      <c r="D28" s="1" t="s">
        <v>62</v>
      </c>
      <c r="E28" s="3">
        <v>3.25</v>
      </c>
      <c r="F28" s="3">
        <v>0.75</v>
      </c>
      <c r="G28" s="3">
        <v>2.6</v>
      </c>
      <c r="H28" s="1">
        <f t="shared" si="0"/>
        <v>2.4375</v>
      </c>
      <c r="I28" s="1">
        <f t="shared" si="1"/>
        <v>0.234375</v>
      </c>
      <c r="J28" s="4">
        <v>0.34</v>
      </c>
      <c r="K28" s="5">
        <v>100</v>
      </c>
      <c r="L28" s="6">
        <v>0.8</v>
      </c>
      <c r="M28" s="1">
        <f t="shared" si="5"/>
        <v>0.27200000000000002</v>
      </c>
      <c r="N28" s="10" t="s">
        <v>101</v>
      </c>
      <c r="O28" s="10" t="s">
        <v>104</v>
      </c>
      <c r="P28" s="7">
        <v>3250</v>
      </c>
      <c r="Q28" s="1">
        <f t="shared" si="2"/>
        <v>0.27573529411764702</v>
      </c>
      <c r="R28" s="8">
        <v>1</v>
      </c>
      <c r="S28" s="15">
        <v>1.25</v>
      </c>
      <c r="T28" s="15">
        <f t="shared" si="3"/>
        <v>3.25</v>
      </c>
      <c r="U28" s="15">
        <f t="shared" si="4"/>
        <v>1.625</v>
      </c>
    </row>
    <row r="29" spans="2:23" x14ac:dyDescent="0.25">
      <c r="B29" s="1">
        <v>26</v>
      </c>
      <c r="C29" s="1" t="s">
        <v>63</v>
      </c>
      <c r="D29" s="1" t="s">
        <v>64</v>
      </c>
      <c r="E29" s="3">
        <v>4</v>
      </c>
      <c r="F29" s="3">
        <v>0.75</v>
      </c>
      <c r="G29" s="3">
        <v>2.6</v>
      </c>
      <c r="H29" s="1">
        <f t="shared" si="0"/>
        <v>3</v>
      </c>
      <c r="I29" s="1">
        <f t="shared" si="1"/>
        <v>0.24291497975708504</v>
      </c>
      <c r="J29" s="4">
        <v>0.34</v>
      </c>
      <c r="K29" s="5">
        <v>100</v>
      </c>
      <c r="L29" s="6">
        <v>0.8</v>
      </c>
      <c r="M29" s="1">
        <f t="shared" si="5"/>
        <v>0.27200000000000002</v>
      </c>
      <c r="N29" s="10" t="s">
        <v>101</v>
      </c>
      <c r="O29" s="10" t="s">
        <v>104</v>
      </c>
      <c r="P29" s="7">
        <v>3250</v>
      </c>
      <c r="Q29" s="1">
        <f t="shared" si="2"/>
        <v>0.33936651583710403</v>
      </c>
      <c r="R29" s="8">
        <v>1</v>
      </c>
      <c r="S29" s="15">
        <v>1.25</v>
      </c>
      <c r="T29" s="15">
        <f t="shared" si="3"/>
        <v>3.25</v>
      </c>
      <c r="U29" s="15">
        <f t="shared" si="4"/>
        <v>1.625</v>
      </c>
    </row>
    <row r="30" spans="2:23" x14ac:dyDescent="0.25">
      <c r="B30" s="1">
        <v>27</v>
      </c>
      <c r="C30" s="1" t="s">
        <v>65</v>
      </c>
      <c r="D30" s="1" t="s">
        <v>66</v>
      </c>
      <c r="E30" s="3">
        <v>12.824999999999999</v>
      </c>
      <c r="F30" s="3">
        <v>1.125</v>
      </c>
      <c r="G30" s="3">
        <v>2.6</v>
      </c>
      <c r="H30" s="1">
        <f t="shared" si="0"/>
        <v>14.428125</v>
      </c>
      <c r="I30" s="1">
        <f t="shared" si="1"/>
        <v>0.39779776674937967</v>
      </c>
      <c r="J30" s="4">
        <v>0.34</v>
      </c>
      <c r="K30" s="5">
        <v>100</v>
      </c>
      <c r="L30" s="6">
        <v>0.8</v>
      </c>
      <c r="M30" s="1">
        <f t="shared" si="5"/>
        <v>0.27200000000000002</v>
      </c>
      <c r="N30" s="10" t="s">
        <v>101</v>
      </c>
      <c r="O30" s="10" t="s">
        <v>104</v>
      </c>
      <c r="P30" s="7">
        <v>3250</v>
      </c>
      <c r="Q30" s="1">
        <f t="shared" si="2"/>
        <v>1.6321408371040722</v>
      </c>
      <c r="R30" s="8">
        <v>2</v>
      </c>
      <c r="S30" s="15">
        <v>1.25</v>
      </c>
      <c r="T30" s="15">
        <f t="shared" si="3"/>
        <v>3.25</v>
      </c>
      <c r="U30" s="15">
        <f t="shared" si="4"/>
        <v>1.625</v>
      </c>
    </row>
    <row r="31" spans="2:23" x14ac:dyDescent="0.25">
      <c r="B31" s="1">
        <v>28</v>
      </c>
      <c r="C31" s="1" t="s">
        <v>67</v>
      </c>
      <c r="D31" s="1" t="s">
        <v>68</v>
      </c>
      <c r="E31" s="3">
        <v>3.125</v>
      </c>
      <c r="F31" s="3">
        <v>1.125</v>
      </c>
      <c r="G31" s="3">
        <v>2.6</v>
      </c>
      <c r="H31" s="1">
        <f t="shared" si="0"/>
        <v>3.515625</v>
      </c>
      <c r="I31" s="1">
        <f t="shared" si="1"/>
        <v>0.31815610859728505</v>
      </c>
      <c r="J31" s="4">
        <v>0.34</v>
      </c>
      <c r="K31" s="5">
        <v>100</v>
      </c>
      <c r="L31" s="6">
        <v>0.8</v>
      </c>
      <c r="M31" s="1">
        <f t="shared" si="5"/>
        <v>0.27200000000000002</v>
      </c>
      <c r="N31" s="10" t="s">
        <v>101</v>
      </c>
      <c r="O31" s="10" t="s">
        <v>104</v>
      </c>
      <c r="P31" s="7">
        <v>3250</v>
      </c>
      <c r="Q31" s="1">
        <f t="shared" si="2"/>
        <v>0.39769513574660631</v>
      </c>
      <c r="R31" s="8">
        <v>1</v>
      </c>
      <c r="S31" s="15">
        <v>1.25</v>
      </c>
      <c r="T31" s="15">
        <f t="shared" si="3"/>
        <v>3.25</v>
      </c>
      <c r="U31" s="15">
        <f t="shared" si="4"/>
        <v>1.625</v>
      </c>
    </row>
    <row r="32" spans="2:23" x14ac:dyDescent="0.25">
      <c r="B32" s="1">
        <v>29</v>
      </c>
      <c r="C32" s="1" t="s">
        <v>69</v>
      </c>
      <c r="D32" s="1" t="s">
        <v>70</v>
      </c>
      <c r="E32" s="3">
        <v>3.7250000000000001</v>
      </c>
      <c r="F32" s="3">
        <v>1.125</v>
      </c>
      <c r="G32" s="3">
        <v>2.6</v>
      </c>
      <c r="H32" s="1">
        <f t="shared" si="0"/>
        <v>4.1906249999999998</v>
      </c>
      <c r="I32" s="1">
        <f t="shared" si="1"/>
        <v>0.3323255352894528</v>
      </c>
      <c r="J32" s="4">
        <v>0.34</v>
      </c>
      <c r="K32" s="5">
        <v>100</v>
      </c>
      <c r="L32" s="6">
        <v>0.8</v>
      </c>
      <c r="M32" s="1">
        <f t="shared" si="5"/>
        <v>0.27200000000000002</v>
      </c>
      <c r="N32" s="10" t="s">
        <v>101</v>
      </c>
      <c r="O32" s="10" t="s">
        <v>104</v>
      </c>
      <c r="P32" s="7">
        <v>3250</v>
      </c>
      <c r="Q32" s="1">
        <f t="shared" si="2"/>
        <v>0.47405260180995468</v>
      </c>
      <c r="R32" s="8">
        <v>1</v>
      </c>
      <c r="S32" s="15">
        <v>1.25</v>
      </c>
      <c r="T32" s="15">
        <f t="shared" si="3"/>
        <v>3.25</v>
      </c>
      <c r="U32" s="15">
        <f t="shared" si="4"/>
        <v>1.625</v>
      </c>
    </row>
    <row r="33" spans="2:21" x14ac:dyDescent="0.25">
      <c r="B33" s="1">
        <v>30</v>
      </c>
      <c r="C33" s="1" t="s">
        <v>71</v>
      </c>
      <c r="D33" s="1" t="s">
        <v>72</v>
      </c>
      <c r="E33" s="3">
        <v>4.625</v>
      </c>
      <c r="F33" s="3">
        <v>1.2250000000000001</v>
      </c>
      <c r="G33" s="3">
        <v>2.6</v>
      </c>
      <c r="H33" s="1">
        <f t="shared" si="0"/>
        <v>5.6656250000000004</v>
      </c>
      <c r="I33" s="1">
        <f t="shared" si="1"/>
        <v>0.37249342537804081</v>
      </c>
      <c r="J33" s="4">
        <v>0.34</v>
      </c>
      <c r="K33" s="5">
        <v>100</v>
      </c>
      <c r="L33" s="6">
        <v>0.8</v>
      </c>
      <c r="M33" s="1">
        <f t="shared" si="5"/>
        <v>0.27200000000000002</v>
      </c>
      <c r="N33" s="10" t="s">
        <v>101</v>
      </c>
      <c r="O33" s="10" t="s">
        <v>104</v>
      </c>
      <c r="P33" s="7">
        <v>3250</v>
      </c>
      <c r="Q33" s="1">
        <f t="shared" si="2"/>
        <v>0.64090780542986414</v>
      </c>
      <c r="R33" s="8">
        <v>1</v>
      </c>
      <c r="S33" s="15">
        <v>1.25</v>
      </c>
      <c r="T33" s="15">
        <f t="shared" si="3"/>
        <v>3.25</v>
      </c>
      <c r="U33" s="15">
        <f t="shared" si="4"/>
        <v>1.625</v>
      </c>
    </row>
    <row r="34" spans="2:21" x14ac:dyDescent="0.25">
      <c r="B34" s="1">
        <v>31</v>
      </c>
      <c r="C34" s="1" t="s">
        <v>73</v>
      </c>
      <c r="D34" s="1" t="s">
        <v>74</v>
      </c>
      <c r="E34" s="3">
        <v>6.55</v>
      </c>
      <c r="F34" s="3">
        <v>1.35</v>
      </c>
      <c r="G34" s="3">
        <v>2.6</v>
      </c>
      <c r="H34" s="1">
        <f t="shared" si="0"/>
        <v>8.8425000000000011</v>
      </c>
      <c r="I34" s="1">
        <f t="shared" si="1"/>
        <v>0.43050146056475169</v>
      </c>
      <c r="J34" s="4">
        <v>0.34</v>
      </c>
      <c r="K34" s="5">
        <v>100</v>
      </c>
      <c r="L34" s="6">
        <v>0.8</v>
      </c>
      <c r="M34" s="1">
        <f t="shared" si="5"/>
        <v>0.27200000000000002</v>
      </c>
      <c r="N34" s="10" t="s">
        <v>101</v>
      </c>
      <c r="O34" s="10" t="s">
        <v>104</v>
      </c>
      <c r="P34" s="7">
        <v>3250</v>
      </c>
      <c r="Q34" s="1">
        <f t="shared" si="2"/>
        <v>1.0002828054298643</v>
      </c>
      <c r="R34" s="8">
        <v>2</v>
      </c>
      <c r="S34" s="15">
        <v>1.25</v>
      </c>
      <c r="T34" s="15">
        <f t="shared" si="3"/>
        <v>3.25</v>
      </c>
      <c r="U34" s="15">
        <f t="shared" si="4"/>
        <v>1.625</v>
      </c>
    </row>
    <row r="35" spans="2:21" x14ac:dyDescent="0.25">
      <c r="B35" s="1">
        <v>32</v>
      </c>
      <c r="C35" s="1" t="s">
        <v>75</v>
      </c>
      <c r="D35" s="1" t="s">
        <v>76</v>
      </c>
      <c r="E35" s="3">
        <v>8.2750000000000004</v>
      </c>
      <c r="F35" s="3">
        <v>1.2749999999999999</v>
      </c>
      <c r="G35" s="3">
        <v>2.6</v>
      </c>
      <c r="H35" s="1">
        <f t="shared" si="0"/>
        <v>10.550625</v>
      </c>
      <c r="I35" s="1">
        <f t="shared" si="1"/>
        <v>0.42491441804269026</v>
      </c>
      <c r="J35" s="4">
        <v>0.34</v>
      </c>
      <c r="K35" s="5">
        <v>100</v>
      </c>
      <c r="L35" s="6">
        <v>0.8</v>
      </c>
      <c r="M35" s="1">
        <f t="shared" si="5"/>
        <v>0.27200000000000002</v>
      </c>
      <c r="N35" s="10" t="s">
        <v>101</v>
      </c>
      <c r="O35" s="10" t="s">
        <v>104</v>
      </c>
      <c r="P35" s="7">
        <v>3250</v>
      </c>
      <c r="Q35" s="1">
        <f t="shared" si="2"/>
        <v>1.1935096153846152</v>
      </c>
      <c r="R35" s="8">
        <v>2</v>
      </c>
      <c r="S35" s="15">
        <v>1.25</v>
      </c>
      <c r="T35" s="15">
        <f t="shared" si="3"/>
        <v>3.25</v>
      </c>
      <c r="U35" s="15">
        <f t="shared" si="4"/>
        <v>1.625</v>
      </c>
    </row>
    <row r="36" spans="2:21" x14ac:dyDescent="0.25">
      <c r="B36" s="1">
        <v>33</v>
      </c>
      <c r="C36" s="1" t="s">
        <v>77</v>
      </c>
      <c r="D36" s="1" t="s">
        <v>78</v>
      </c>
      <c r="E36" s="3">
        <v>21.274999999999999</v>
      </c>
      <c r="F36" s="3">
        <v>1.1499999999999999</v>
      </c>
      <c r="G36" s="3">
        <v>2.6</v>
      </c>
      <c r="H36" s="1">
        <f t="shared" si="0"/>
        <v>24.466249999999995</v>
      </c>
      <c r="I36" s="1">
        <f t="shared" si="1"/>
        <v>0.41962524654832345</v>
      </c>
      <c r="J36" s="4">
        <v>0.34</v>
      </c>
      <c r="K36" s="5">
        <v>100</v>
      </c>
      <c r="L36" s="6">
        <v>0.8</v>
      </c>
      <c r="M36" s="1">
        <f t="shared" si="5"/>
        <v>0.27200000000000002</v>
      </c>
      <c r="N36" s="10" t="s">
        <v>101</v>
      </c>
      <c r="O36" s="10" t="s">
        <v>104</v>
      </c>
      <c r="P36" s="7">
        <v>3250</v>
      </c>
      <c r="Q36" s="1">
        <f t="shared" si="2"/>
        <v>2.767675339366515</v>
      </c>
      <c r="R36" s="8">
        <v>4</v>
      </c>
      <c r="S36" s="15">
        <v>1.25</v>
      </c>
      <c r="T36" s="15">
        <f t="shared" si="3"/>
        <v>3.25</v>
      </c>
      <c r="U36" s="15">
        <f t="shared" si="4"/>
        <v>1.625</v>
      </c>
    </row>
    <row r="37" spans="2:21" x14ac:dyDescent="0.25">
      <c r="B37" s="1">
        <v>34</v>
      </c>
      <c r="C37" s="1" t="s">
        <v>79</v>
      </c>
      <c r="D37" s="1" t="s">
        <v>80</v>
      </c>
      <c r="E37" s="3">
        <v>8.5500000000000007</v>
      </c>
      <c r="F37" s="3">
        <v>1.35</v>
      </c>
      <c r="G37" s="3">
        <v>2.6</v>
      </c>
      <c r="H37" s="1">
        <f t="shared" si="0"/>
        <v>11.542500000000002</v>
      </c>
      <c r="I37" s="1">
        <f t="shared" si="1"/>
        <v>0.44842657342657349</v>
      </c>
      <c r="J37" s="4">
        <v>0.34</v>
      </c>
      <c r="K37" s="5">
        <v>100</v>
      </c>
      <c r="L37" s="6">
        <v>0.8</v>
      </c>
      <c r="M37" s="1">
        <f t="shared" si="5"/>
        <v>0.27200000000000002</v>
      </c>
      <c r="N37" s="10" t="s">
        <v>101</v>
      </c>
      <c r="O37" s="10" t="s">
        <v>104</v>
      </c>
      <c r="P37" s="7">
        <v>3250</v>
      </c>
      <c r="Q37" s="1">
        <f t="shared" si="2"/>
        <v>1.3057126696832579</v>
      </c>
      <c r="R37" s="8">
        <v>2</v>
      </c>
      <c r="S37" s="15">
        <v>1.25</v>
      </c>
      <c r="T37" s="15">
        <f t="shared" si="3"/>
        <v>3.25</v>
      </c>
      <c r="U37" s="15">
        <f t="shared" si="4"/>
        <v>1.625</v>
      </c>
    </row>
    <row r="38" spans="2:21" x14ac:dyDescent="0.25">
      <c r="B38" s="1">
        <v>35</v>
      </c>
      <c r="C38" s="1" t="s">
        <v>81</v>
      </c>
      <c r="D38" s="1" t="s">
        <v>82</v>
      </c>
      <c r="E38" s="3">
        <v>4</v>
      </c>
      <c r="F38" s="3">
        <v>1.1499999999999999</v>
      </c>
      <c r="G38" s="3">
        <v>2.6</v>
      </c>
      <c r="H38" s="1">
        <f t="shared" si="0"/>
        <v>4.5999999999999996</v>
      </c>
      <c r="I38" s="1">
        <f t="shared" si="1"/>
        <v>0.34353995519044056</v>
      </c>
      <c r="J38" s="4">
        <v>0.34</v>
      </c>
      <c r="K38" s="5">
        <v>100</v>
      </c>
      <c r="L38" s="6">
        <v>0.8</v>
      </c>
      <c r="M38" s="1">
        <f t="shared" si="5"/>
        <v>0.27200000000000002</v>
      </c>
      <c r="N38" s="10" t="s">
        <v>101</v>
      </c>
      <c r="O38" s="10" t="s">
        <v>104</v>
      </c>
      <c r="P38" s="7">
        <v>3250</v>
      </c>
      <c r="Q38" s="1">
        <f t="shared" si="2"/>
        <v>0.52036199095022606</v>
      </c>
      <c r="R38" s="8">
        <v>1</v>
      </c>
      <c r="S38" s="15">
        <v>1.25</v>
      </c>
      <c r="T38" s="15">
        <f t="shared" si="3"/>
        <v>3.25</v>
      </c>
      <c r="U38" s="15">
        <f t="shared" si="4"/>
        <v>1.625</v>
      </c>
    </row>
    <row r="39" spans="2:21" x14ac:dyDescent="0.25">
      <c r="B39" s="1">
        <v>36</v>
      </c>
      <c r="C39" s="1" t="s">
        <v>83</v>
      </c>
      <c r="D39" s="1" t="s">
        <v>84</v>
      </c>
      <c r="E39" s="3">
        <v>4.875</v>
      </c>
      <c r="F39" s="3">
        <v>1.35</v>
      </c>
      <c r="G39" s="3">
        <v>2.6</v>
      </c>
      <c r="H39" s="1">
        <f t="shared" si="0"/>
        <v>6.5812500000000007</v>
      </c>
      <c r="I39" s="1">
        <f t="shared" si="1"/>
        <v>0.40662650602409645</v>
      </c>
      <c r="J39" s="4">
        <v>0.34</v>
      </c>
      <c r="K39" s="5">
        <v>100</v>
      </c>
      <c r="L39" s="6">
        <v>0.8</v>
      </c>
      <c r="M39" s="1">
        <f t="shared" si="5"/>
        <v>0.27200000000000002</v>
      </c>
      <c r="N39" s="10" t="s">
        <v>101</v>
      </c>
      <c r="O39" s="10" t="s">
        <v>104</v>
      </c>
      <c r="P39" s="7">
        <v>3250</v>
      </c>
      <c r="Q39" s="1">
        <f t="shared" si="2"/>
        <v>0.74448529411764708</v>
      </c>
      <c r="R39" s="8">
        <v>1</v>
      </c>
      <c r="S39" s="15">
        <v>1.25</v>
      </c>
      <c r="T39" s="15">
        <f t="shared" si="3"/>
        <v>3.25</v>
      </c>
      <c r="U39" s="15">
        <f t="shared" si="4"/>
        <v>1.625</v>
      </c>
    </row>
    <row r="40" spans="2:21" x14ac:dyDescent="0.25">
      <c r="B40" s="1">
        <v>37</v>
      </c>
      <c r="C40" s="1" t="s">
        <v>85</v>
      </c>
      <c r="D40" s="1" t="s">
        <v>86</v>
      </c>
      <c r="E40" s="3">
        <v>4.625</v>
      </c>
      <c r="F40" s="3">
        <v>1.2749999999999999</v>
      </c>
      <c r="G40" s="3">
        <v>2.6</v>
      </c>
      <c r="H40" s="1">
        <f t="shared" si="0"/>
        <v>5.8968749999999996</v>
      </c>
      <c r="I40" s="1">
        <f t="shared" si="1"/>
        <v>0.3844116688396349</v>
      </c>
      <c r="J40" s="4">
        <v>0.34</v>
      </c>
      <c r="K40" s="5">
        <v>100</v>
      </c>
      <c r="L40" s="6">
        <v>0.8</v>
      </c>
      <c r="M40" s="1">
        <f t="shared" si="5"/>
        <v>0.27200000000000002</v>
      </c>
      <c r="N40" s="10" t="s">
        <v>101</v>
      </c>
      <c r="O40" s="10" t="s">
        <v>104</v>
      </c>
      <c r="P40" s="7">
        <v>3250</v>
      </c>
      <c r="Q40" s="1">
        <f t="shared" si="2"/>
        <v>0.6670673076923076</v>
      </c>
      <c r="R40" s="8">
        <v>1</v>
      </c>
      <c r="S40" s="15">
        <v>1.25</v>
      </c>
      <c r="T40" s="15">
        <f t="shared" si="3"/>
        <v>3.25</v>
      </c>
      <c r="U40" s="15">
        <f t="shared" si="4"/>
        <v>1.625</v>
      </c>
    </row>
    <row r="41" spans="2:21" x14ac:dyDescent="0.25">
      <c r="B41" s="1">
        <v>38</v>
      </c>
      <c r="C41" s="1" t="s">
        <v>87</v>
      </c>
      <c r="D41" s="1" t="s">
        <v>88</v>
      </c>
      <c r="E41" s="3">
        <v>3.8</v>
      </c>
      <c r="F41" s="3">
        <v>1.125</v>
      </c>
      <c r="G41" s="3">
        <v>2.6</v>
      </c>
      <c r="H41" s="1">
        <f t="shared" si="0"/>
        <v>4.2749999999999995</v>
      </c>
      <c r="I41" s="1">
        <f t="shared" si="1"/>
        <v>0.33385396329558764</v>
      </c>
      <c r="J41" s="4">
        <v>0.34</v>
      </c>
      <c r="K41" s="5">
        <v>100</v>
      </c>
      <c r="L41" s="6">
        <v>0.8</v>
      </c>
      <c r="M41" s="1">
        <f t="shared" si="5"/>
        <v>0.27200000000000002</v>
      </c>
      <c r="N41" s="10" t="s">
        <v>101</v>
      </c>
      <c r="O41" s="10" t="s">
        <v>104</v>
      </c>
      <c r="P41" s="7">
        <v>3250</v>
      </c>
      <c r="Q41" s="1">
        <f t="shared" si="2"/>
        <v>0.48359728506787319</v>
      </c>
      <c r="R41" s="8">
        <v>1</v>
      </c>
      <c r="S41" s="15">
        <v>1.25</v>
      </c>
      <c r="T41" s="15">
        <f t="shared" si="3"/>
        <v>3.25</v>
      </c>
      <c r="U41" s="15">
        <f t="shared" si="4"/>
        <v>1.625</v>
      </c>
    </row>
    <row r="42" spans="2:21" x14ac:dyDescent="0.25">
      <c r="B42" s="1">
        <v>39</v>
      </c>
      <c r="C42" s="1" t="s">
        <v>89</v>
      </c>
      <c r="D42" s="1" t="s">
        <v>90</v>
      </c>
      <c r="E42" s="3">
        <v>3.125</v>
      </c>
      <c r="F42" s="3">
        <v>1.125</v>
      </c>
      <c r="G42" s="3">
        <v>2.6</v>
      </c>
      <c r="H42" s="1">
        <f t="shared" si="0"/>
        <v>3.515625</v>
      </c>
      <c r="I42" s="1">
        <f t="shared" si="1"/>
        <v>0.31815610859728505</v>
      </c>
      <c r="J42" s="4">
        <v>0.34</v>
      </c>
      <c r="K42" s="5">
        <v>100</v>
      </c>
      <c r="L42" s="6">
        <v>0.8</v>
      </c>
      <c r="M42" s="1">
        <f t="shared" si="5"/>
        <v>0.27200000000000002</v>
      </c>
      <c r="N42" s="10" t="s">
        <v>101</v>
      </c>
      <c r="O42" s="10" t="s">
        <v>104</v>
      </c>
      <c r="P42" s="7">
        <v>3250</v>
      </c>
      <c r="Q42" s="1">
        <f t="shared" si="2"/>
        <v>0.39769513574660631</v>
      </c>
      <c r="R42" s="8">
        <v>1</v>
      </c>
      <c r="S42" s="15">
        <v>1.25</v>
      </c>
      <c r="T42" s="15">
        <f t="shared" si="3"/>
        <v>3.25</v>
      </c>
      <c r="U42" s="15">
        <f t="shared" si="4"/>
        <v>1.625</v>
      </c>
    </row>
    <row r="43" spans="2:21" x14ac:dyDescent="0.25">
      <c r="B43" s="1">
        <v>40</v>
      </c>
      <c r="C43" s="1" t="s">
        <v>91</v>
      </c>
      <c r="D43" s="1" t="s">
        <v>92</v>
      </c>
      <c r="E43" s="3">
        <v>12.824999999999999</v>
      </c>
      <c r="F43" s="3">
        <v>1.125</v>
      </c>
      <c r="G43" s="3">
        <v>2.6</v>
      </c>
      <c r="H43" s="1">
        <f t="shared" si="0"/>
        <v>14.428125</v>
      </c>
      <c r="I43" s="1">
        <f t="shared" si="1"/>
        <v>0.39779776674937967</v>
      </c>
      <c r="J43" s="4">
        <v>0.34</v>
      </c>
      <c r="K43" s="5">
        <v>100</v>
      </c>
      <c r="L43" s="6">
        <v>0.8</v>
      </c>
      <c r="M43" s="1">
        <f t="shared" si="5"/>
        <v>0.27200000000000002</v>
      </c>
      <c r="N43" s="10" t="s">
        <v>101</v>
      </c>
      <c r="O43" s="10" t="s">
        <v>104</v>
      </c>
      <c r="P43" s="7">
        <v>3250</v>
      </c>
      <c r="Q43" s="1">
        <f t="shared" si="2"/>
        <v>1.6321408371040722</v>
      </c>
      <c r="R43" s="8">
        <v>2</v>
      </c>
      <c r="S43" s="15">
        <v>1.25</v>
      </c>
      <c r="T43" s="15">
        <f t="shared" si="3"/>
        <v>3.25</v>
      </c>
      <c r="U43" s="15">
        <f t="shared" si="4"/>
        <v>1.625</v>
      </c>
    </row>
    <row r="44" spans="2:21" x14ac:dyDescent="0.25">
      <c r="B44" s="1">
        <v>41</v>
      </c>
      <c r="C44" s="1" t="s">
        <v>93</v>
      </c>
      <c r="D44" s="1" t="s">
        <v>94</v>
      </c>
      <c r="E44" s="3">
        <v>4</v>
      </c>
      <c r="F44" s="3">
        <v>0.75</v>
      </c>
      <c r="G44" s="3">
        <v>2.6</v>
      </c>
      <c r="H44" s="1">
        <f t="shared" si="0"/>
        <v>3</v>
      </c>
      <c r="I44" s="1">
        <f t="shared" si="1"/>
        <v>0.24291497975708504</v>
      </c>
      <c r="J44" s="4">
        <v>0.34</v>
      </c>
      <c r="K44" s="5">
        <v>100</v>
      </c>
      <c r="L44" s="6">
        <v>0.8</v>
      </c>
      <c r="M44" s="1">
        <f t="shared" si="5"/>
        <v>0.27200000000000002</v>
      </c>
      <c r="N44" s="10" t="s">
        <v>101</v>
      </c>
      <c r="O44" s="10" t="s">
        <v>104</v>
      </c>
      <c r="P44" s="7">
        <v>3250</v>
      </c>
      <c r="Q44" s="1">
        <f t="shared" si="2"/>
        <v>0.33936651583710403</v>
      </c>
      <c r="R44" s="8">
        <v>1</v>
      </c>
      <c r="S44" s="15">
        <v>1.25</v>
      </c>
      <c r="T44" s="15">
        <f t="shared" si="3"/>
        <v>3.25</v>
      </c>
      <c r="U44" s="15">
        <f t="shared" si="4"/>
        <v>1.625</v>
      </c>
    </row>
    <row r="45" spans="2:21" x14ac:dyDescent="0.25">
      <c r="B45" s="1">
        <v>42</v>
      </c>
      <c r="C45" s="1" t="s">
        <v>95</v>
      </c>
      <c r="D45" s="1" t="s">
        <v>96</v>
      </c>
      <c r="E45" s="3">
        <v>3.25</v>
      </c>
      <c r="F45" s="3">
        <v>0.75</v>
      </c>
      <c r="G45" s="3">
        <v>2.6</v>
      </c>
      <c r="H45" s="1">
        <f t="shared" si="0"/>
        <v>2.4375</v>
      </c>
      <c r="I45" s="1">
        <f t="shared" si="1"/>
        <v>0.234375</v>
      </c>
      <c r="J45" s="4">
        <v>0.34</v>
      </c>
      <c r="K45" s="5">
        <v>100</v>
      </c>
      <c r="L45" s="6">
        <v>0.8</v>
      </c>
      <c r="M45" s="1">
        <f t="shared" si="5"/>
        <v>0.27200000000000002</v>
      </c>
      <c r="N45" s="10" t="s">
        <v>101</v>
      </c>
      <c r="O45" s="10" t="s">
        <v>104</v>
      </c>
      <c r="P45" s="7">
        <v>3250</v>
      </c>
      <c r="Q45" s="1">
        <f t="shared" si="2"/>
        <v>0.27573529411764702</v>
      </c>
      <c r="R45" s="8">
        <v>1</v>
      </c>
      <c r="S45" s="15">
        <v>1.25</v>
      </c>
      <c r="T45" s="15">
        <f t="shared" si="3"/>
        <v>3.25</v>
      </c>
      <c r="U45" s="15">
        <f t="shared" si="4"/>
        <v>1.625</v>
      </c>
    </row>
  </sheetData>
  <mergeCells count="12">
    <mergeCell ref="U2:U3"/>
    <mergeCell ref="W9:X9"/>
    <mergeCell ref="O2:O3"/>
    <mergeCell ref="N2:N3"/>
    <mergeCell ref="D2:D3"/>
    <mergeCell ref="T2:T3"/>
    <mergeCell ref="D1:P1"/>
    <mergeCell ref="L2:L3"/>
    <mergeCell ref="J2:J3"/>
    <mergeCell ref="S2:S3"/>
    <mergeCell ref="B2:B3"/>
    <mergeCell ref="C2:C3"/>
  </mergeCells>
  <phoneticPr fontId="6" type="noConversion"/>
  <hyperlinks>
    <hyperlink ref="I2" r:id="rId1" xr:uid="{7D722BB2-D0D6-40A5-B6F0-625F506239B6}"/>
  </hyperlinks>
  <pageMargins left="0.7" right="0.7" top="0.75" bottom="0.75" header="0.3" footer="0.3"/>
  <pageSetup paperSize="24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B8C10-28F1-43A2-AAE8-D6E2F183B239}">
  <dimension ref="B1:U23"/>
  <sheetViews>
    <sheetView workbookViewId="0">
      <selection activeCell="B2" sqref="B2:U23"/>
    </sheetView>
  </sheetViews>
  <sheetFormatPr defaultRowHeight="15" x14ac:dyDescent="0.25"/>
  <cols>
    <col min="2" max="2" width="3.140625" bestFit="1" customWidth="1"/>
    <col min="3" max="3" width="19.5703125" bestFit="1" customWidth="1"/>
    <col min="4" max="4" width="24.42578125" bestFit="1" customWidth="1"/>
    <col min="5" max="5" width="6.5703125" bestFit="1" customWidth="1"/>
    <col min="6" max="6" width="5.85546875" bestFit="1" customWidth="1"/>
    <col min="7" max="7" width="14.42578125" bestFit="1" customWidth="1"/>
    <col min="8" max="8" width="10.7109375" bestFit="1" customWidth="1"/>
    <col min="9" max="9" width="12" bestFit="1" customWidth="1"/>
    <col min="10" max="10" width="5" bestFit="1" customWidth="1"/>
    <col min="11" max="11" width="13.85546875" bestFit="1" customWidth="1"/>
    <col min="12" max="12" width="4" bestFit="1" customWidth="1"/>
    <col min="13" max="13" width="11.140625" bestFit="1" customWidth="1"/>
    <col min="14" max="14" width="9.5703125" bestFit="1" customWidth="1"/>
    <col min="15" max="15" width="20.42578125" bestFit="1" customWidth="1"/>
    <col min="16" max="16" width="14" bestFit="1" customWidth="1"/>
    <col min="17" max="17" width="12" bestFit="1" customWidth="1"/>
    <col min="18" max="18" width="13.5703125" bestFit="1" customWidth="1"/>
    <col min="19" max="19" width="9.28515625" bestFit="1" customWidth="1"/>
    <col min="20" max="20" width="6.85546875" bestFit="1" customWidth="1"/>
    <col min="21" max="21" width="7" bestFit="1" customWidth="1"/>
  </cols>
  <sheetData>
    <row r="1" spans="2:21" x14ac:dyDescent="0.25">
      <c r="D1" s="69" t="s">
        <v>0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2:21" x14ac:dyDescent="0.25">
      <c r="B2" s="43" t="s">
        <v>1</v>
      </c>
      <c r="C2" s="43" t="s">
        <v>118</v>
      </c>
      <c r="D2" s="43" t="s">
        <v>118</v>
      </c>
      <c r="E2" s="43" t="s">
        <v>2</v>
      </c>
      <c r="F2" s="43" t="s">
        <v>3</v>
      </c>
      <c r="G2" s="44" t="s">
        <v>4</v>
      </c>
      <c r="H2" s="45" t="s">
        <v>5</v>
      </c>
      <c r="I2" s="44" t="s">
        <v>6</v>
      </c>
      <c r="J2" s="46" t="s">
        <v>7</v>
      </c>
      <c r="K2" s="44" t="s">
        <v>8</v>
      </c>
      <c r="L2" s="47" t="s">
        <v>9</v>
      </c>
      <c r="M2" s="43" t="s">
        <v>10</v>
      </c>
      <c r="N2" s="44" t="s">
        <v>11</v>
      </c>
      <c r="O2" s="43" t="s">
        <v>12</v>
      </c>
      <c r="P2" s="43" t="s">
        <v>13</v>
      </c>
      <c r="Q2" s="44" t="s">
        <v>119</v>
      </c>
      <c r="R2" s="44" t="s">
        <v>120</v>
      </c>
      <c r="S2" s="44" t="s">
        <v>106</v>
      </c>
      <c r="T2" s="43" t="s">
        <v>107</v>
      </c>
      <c r="U2" s="43" t="s">
        <v>115</v>
      </c>
    </row>
    <row r="3" spans="2:21" x14ac:dyDescent="0.25">
      <c r="B3" s="48"/>
      <c r="C3" s="48"/>
      <c r="D3" s="48"/>
      <c r="E3" s="48" t="s">
        <v>16</v>
      </c>
      <c r="F3" s="48" t="s">
        <v>17</v>
      </c>
      <c r="G3" s="48" t="s">
        <v>18</v>
      </c>
      <c r="H3" s="49" t="s">
        <v>19</v>
      </c>
      <c r="I3" s="48" t="s">
        <v>20</v>
      </c>
      <c r="J3" s="50"/>
      <c r="K3" s="48" t="s">
        <v>21</v>
      </c>
      <c r="L3" s="51"/>
      <c r="M3" s="48" t="s">
        <v>22</v>
      </c>
      <c r="N3" s="48"/>
      <c r="O3" s="48"/>
      <c r="P3" s="52" t="s">
        <v>121</v>
      </c>
      <c r="Q3" s="48" t="s">
        <v>122</v>
      </c>
      <c r="R3" s="48" t="s">
        <v>122</v>
      </c>
      <c r="S3" s="48"/>
      <c r="T3" s="48"/>
      <c r="U3" s="48"/>
    </row>
    <row r="4" spans="2:21" x14ac:dyDescent="0.25">
      <c r="B4" s="53">
        <v>1</v>
      </c>
      <c r="C4" s="54" t="s">
        <v>123</v>
      </c>
      <c r="D4" s="54" t="s">
        <v>124</v>
      </c>
      <c r="E4" s="55">
        <v>5.15</v>
      </c>
      <c r="F4" s="55">
        <v>4</v>
      </c>
      <c r="G4" s="55">
        <v>3.8</v>
      </c>
      <c r="H4" s="56">
        <f t="shared" ref="H4:H23" si="0">E4*F4</f>
        <v>20.6</v>
      </c>
      <c r="I4" s="56">
        <f t="shared" ref="I4:I23" si="1">H4/(G4*(E4+F4))</f>
        <v>0.59246476847857343</v>
      </c>
      <c r="J4" s="57">
        <v>0.34</v>
      </c>
      <c r="K4" s="58">
        <v>300</v>
      </c>
      <c r="L4" s="59">
        <v>0.8</v>
      </c>
      <c r="M4" s="60">
        <f t="shared" ref="M4:M23" si="2">J4*L4</f>
        <v>0.27200000000000002</v>
      </c>
      <c r="N4" s="54" t="s">
        <v>98</v>
      </c>
      <c r="O4" s="66" t="s">
        <v>103</v>
      </c>
      <c r="P4" s="61">
        <f t="shared" ref="P4:P13" si="3">3250*2</f>
        <v>6500</v>
      </c>
      <c r="Q4" s="60">
        <f t="shared" ref="Q4:Q16" si="4">(K4*H4)/(P4*J4*L4)</f>
        <v>3.495475113122172</v>
      </c>
      <c r="R4" s="60">
        <f>ROUNDUP(Q4,0)</f>
        <v>4</v>
      </c>
      <c r="S4" s="60">
        <v>1.25</v>
      </c>
      <c r="T4" s="62">
        <f>G4*S4</f>
        <v>4.75</v>
      </c>
      <c r="U4" s="62">
        <f t="shared" ref="U4:U23" si="5">T4/2</f>
        <v>2.375</v>
      </c>
    </row>
    <row r="5" spans="2:21" x14ac:dyDescent="0.25">
      <c r="B5" s="53">
        <v>2</v>
      </c>
      <c r="C5" s="54" t="s">
        <v>125</v>
      </c>
      <c r="D5" s="54" t="s">
        <v>126</v>
      </c>
      <c r="E5" s="55">
        <v>4.8899999999999997</v>
      </c>
      <c r="F5" s="55">
        <v>3.89</v>
      </c>
      <c r="G5" s="55">
        <f t="shared" ref="G5:G7" si="6">3.8-0.7</f>
        <v>3.0999999999999996</v>
      </c>
      <c r="H5" s="56">
        <f t="shared" si="0"/>
        <v>19.022099999999998</v>
      </c>
      <c r="I5" s="56">
        <f t="shared" si="1"/>
        <v>0.69887941803218456</v>
      </c>
      <c r="J5" s="57">
        <v>0.34</v>
      </c>
      <c r="K5" s="58">
        <v>300</v>
      </c>
      <c r="L5" s="59">
        <v>0.8</v>
      </c>
      <c r="M5" s="60">
        <f t="shared" si="2"/>
        <v>0.27200000000000002</v>
      </c>
      <c r="N5" s="68" t="s">
        <v>98</v>
      </c>
      <c r="O5" s="66" t="s">
        <v>103</v>
      </c>
      <c r="P5" s="61">
        <f t="shared" si="3"/>
        <v>6500</v>
      </c>
      <c r="Q5" s="60">
        <f t="shared" si="4"/>
        <v>3.227731900452488</v>
      </c>
      <c r="R5" s="60">
        <v>4</v>
      </c>
      <c r="S5" s="60">
        <v>1.25</v>
      </c>
      <c r="T5" s="62">
        <f t="shared" ref="T5:T23" si="7">G5*S5</f>
        <v>3.8749999999999996</v>
      </c>
      <c r="U5" s="62">
        <f t="shared" si="5"/>
        <v>1.9374999999999998</v>
      </c>
    </row>
    <row r="6" spans="2:21" x14ac:dyDescent="0.25">
      <c r="B6" s="53">
        <v>3</v>
      </c>
      <c r="C6" s="54" t="s">
        <v>127</v>
      </c>
      <c r="D6" s="54" t="s">
        <v>128</v>
      </c>
      <c r="E6" s="55">
        <v>3.89</v>
      </c>
      <c r="F6" s="55">
        <v>5.93</v>
      </c>
      <c r="G6" s="55">
        <f t="shared" si="6"/>
        <v>3.0999999999999996</v>
      </c>
      <c r="H6" s="56">
        <f t="shared" si="0"/>
        <v>23.067699999999999</v>
      </c>
      <c r="I6" s="56">
        <f t="shared" si="1"/>
        <v>0.75775901714736227</v>
      </c>
      <c r="J6" s="57">
        <v>0.34</v>
      </c>
      <c r="K6" s="58">
        <v>300</v>
      </c>
      <c r="L6" s="59">
        <v>0.8</v>
      </c>
      <c r="M6" s="60">
        <f t="shared" si="2"/>
        <v>0.27200000000000002</v>
      </c>
      <c r="N6" s="68" t="s">
        <v>98</v>
      </c>
      <c r="O6" s="66" t="s">
        <v>103</v>
      </c>
      <c r="P6" s="61">
        <f t="shared" si="3"/>
        <v>6500</v>
      </c>
      <c r="Q6" s="60">
        <f t="shared" si="4"/>
        <v>3.9142024886877826</v>
      </c>
      <c r="R6" s="60">
        <v>4</v>
      </c>
      <c r="S6" s="60">
        <v>1.25</v>
      </c>
      <c r="T6" s="62">
        <f t="shared" si="7"/>
        <v>3.8749999999999996</v>
      </c>
      <c r="U6" s="62">
        <f t="shared" si="5"/>
        <v>1.9374999999999998</v>
      </c>
    </row>
    <row r="7" spans="2:21" x14ac:dyDescent="0.25">
      <c r="B7" s="53">
        <v>4</v>
      </c>
      <c r="C7" s="54" t="s">
        <v>127</v>
      </c>
      <c r="D7" s="54" t="s">
        <v>129</v>
      </c>
      <c r="E7" s="55">
        <v>4</v>
      </c>
      <c r="F7" s="55">
        <v>5.98</v>
      </c>
      <c r="G7" s="55">
        <f t="shared" si="6"/>
        <v>3.0999999999999996</v>
      </c>
      <c r="H7" s="56">
        <f t="shared" si="0"/>
        <v>23.92</v>
      </c>
      <c r="I7" s="56">
        <f t="shared" si="1"/>
        <v>0.77315922166914486</v>
      </c>
      <c r="J7" s="57">
        <v>0.34</v>
      </c>
      <c r="K7" s="58">
        <v>300</v>
      </c>
      <c r="L7" s="59">
        <v>0.8</v>
      </c>
      <c r="M7" s="60">
        <f t="shared" si="2"/>
        <v>0.27200000000000002</v>
      </c>
      <c r="N7" s="68" t="s">
        <v>98</v>
      </c>
      <c r="O7" s="66" t="s">
        <v>103</v>
      </c>
      <c r="P7" s="61">
        <f t="shared" si="3"/>
        <v>6500</v>
      </c>
      <c r="Q7" s="60">
        <f t="shared" si="4"/>
        <v>4.0588235294117654</v>
      </c>
      <c r="R7" s="60">
        <v>6</v>
      </c>
      <c r="S7" s="60">
        <v>1.25</v>
      </c>
      <c r="T7" s="62">
        <f t="shared" si="7"/>
        <v>3.8749999999999996</v>
      </c>
      <c r="U7" s="62">
        <f t="shared" si="5"/>
        <v>1.9374999999999998</v>
      </c>
    </row>
    <row r="8" spans="2:21" x14ac:dyDescent="0.25">
      <c r="B8" s="53">
        <v>5</v>
      </c>
      <c r="C8" s="54" t="s">
        <v>37</v>
      </c>
      <c r="D8" s="54" t="s">
        <v>130</v>
      </c>
      <c r="E8" s="55">
        <v>4.9800000000000004</v>
      </c>
      <c r="F8" s="55">
        <v>2.95</v>
      </c>
      <c r="G8" s="55">
        <v>3.1</v>
      </c>
      <c r="H8" s="56">
        <f t="shared" si="0"/>
        <v>14.691000000000003</v>
      </c>
      <c r="I8" s="56">
        <f t="shared" si="1"/>
        <v>0.59760810316072088</v>
      </c>
      <c r="J8" s="57">
        <v>0.34</v>
      </c>
      <c r="K8" s="58">
        <v>150</v>
      </c>
      <c r="L8" s="59">
        <v>0.8</v>
      </c>
      <c r="M8" s="60">
        <f t="shared" si="2"/>
        <v>0.27200000000000002</v>
      </c>
      <c r="N8" s="54" t="s">
        <v>98</v>
      </c>
      <c r="O8" s="66" t="s">
        <v>103</v>
      </c>
      <c r="P8" s="61">
        <f t="shared" si="3"/>
        <v>6500</v>
      </c>
      <c r="Q8" s="60">
        <f t="shared" si="4"/>
        <v>1.2464083710407243</v>
      </c>
      <c r="R8" s="60">
        <f t="shared" ref="R8:R17" si="8">ROUNDUP(Q8,0)</f>
        <v>2</v>
      </c>
      <c r="S8" s="60">
        <v>1.25</v>
      </c>
      <c r="T8" s="62">
        <f t="shared" si="7"/>
        <v>3.875</v>
      </c>
      <c r="U8" s="62">
        <f t="shared" si="5"/>
        <v>1.9375</v>
      </c>
    </row>
    <row r="9" spans="2:21" x14ac:dyDescent="0.25">
      <c r="B9" s="53">
        <v>6</v>
      </c>
      <c r="C9" s="54" t="s">
        <v>131</v>
      </c>
      <c r="D9" s="54" t="s">
        <v>132</v>
      </c>
      <c r="E9" s="55">
        <v>3.2749999999999999</v>
      </c>
      <c r="F9" s="55">
        <v>4</v>
      </c>
      <c r="G9" s="55">
        <v>3.1</v>
      </c>
      <c r="H9" s="56">
        <f t="shared" si="0"/>
        <v>13.1</v>
      </c>
      <c r="I9" s="56">
        <f t="shared" si="1"/>
        <v>0.5808668662010863</v>
      </c>
      <c r="J9" s="57">
        <v>0.34</v>
      </c>
      <c r="K9" s="58">
        <v>200</v>
      </c>
      <c r="L9" s="59">
        <v>0.8</v>
      </c>
      <c r="M9" s="60">
        <f t="shared" si="2"/>
        <v>0.27200000000000002</v>
      </c>
      <c r="N9" s="54" t="s">
        <v>98</v>
      </c>
      <c r="O9" s="66" t="s">
        <v>103</v>
      </c>
      <c r="P9" s="61">
        <f t="shared" si="3"/>
        <v>6500</v>
      </c>
      <c r="Q9" s="60">
        <f t="shared" si="4"/>
        <v>1.4819004524886878</v>
      </c>
      <c r="R9" s="60">
        <f t="shared" si="8"/>
        <v>2</v>
      </c>
      <c r="S9" s="60">
        <v>1.25</v>
      </c>
      <c r="T9" s="62">
        <f t="shared" si="7"/>
        <v>3.875</v>
      </c>
      <c r="U9" s="62">
        <f t="shared" si="5"/>
        <v>1.9375</v>
      </c>
    </row>
    <row r="10" spans="2:21" x14ac:dyDescent="0.25">
      <c r="B10" s="53">
        <v>7</v>
      </c>
      <c r="C10" s="54" t="s">
        <v>133</v>
      </c>
      <c r="D10" s="54" t="s">
        <v>133</v>
      </c>
      <c r="E10" s="55">
        <v>2.2749999999999999</v>
      </c>
      <c r="F10" s="55">
        <v>4</v>
      </c>
      <c r="G10" s="55">
        <f>3.8-0.7</f>
        <v>3.0999999999999996</v>
      </c>
      <c r="H10" s="56">
        <f t="shared" si="0"/>
        <v>9.1</v>
      </c>
      <c r="I10" s="56">
        <f t="shared" si="1"/>
        <v>0.46780619457653255</v>
      </c>
      <c r="J10" s="57">
        <v>0.34</v>
      </c>
      <c r="K10" s="58">
        <v>150</v>
      </c>
      <c r="L10" s="59">
        <v>0.8</v>
      </c>
      <c r="M10" s="60">
        <f t="shared" si="2"/>
        <v>0.27200000000000002</v>
      </c>
      <c r="N10" s="54" t="s">
        <v>98</v>
      </c>
      <c r="O10" s="66" t="s">
        <v>103</v>
      </c>
      <c r="P10" s="61">
        <f t="shared" si="3"/>
        <v>6500</v>
      </c>
      <c r="Q10" s="60">
        <f t="shared" si="4"/>
        <v>0.7720588235294118</v>
      </c>
      <c r="R10" s="60">
        <f t="shared" si="8"/>
        <v>1</v>
      </c>
      <c r="S10" s="60">
        <v>1.25</v>
      </c>
      <c r="T10" s="62">
        <f t="shared" si="7"/>
        <v>3.8749999999999996</v>
      </c>
      <c r="U10" s="62">
        <f t="shared" si="5"/>
        <v>1.9374999999999998</v>
      </c>
    </row>
    <row r="11" spans="2:21" x14ac:dyDescent="0.25">
      <c r="B11" s="53">
        <v>8</v>
      </c>
      <c r="C11" s="54" t="s">
        <v>134</v>
      </c>
      <c r="D11" s="54" t="s">
        <v>135</v>
      </c>
      <c r="E11" s="55">
        <v>4</v>
      </c>
      <c r="F11" s="55">
        <v>3.11</v>
      </c>
      <c r="G11" s="55">
        <v>3.8</v>
      </c>
      <c r="H11" s="56">
        <f t="shared" si="0"/>
        <v>12.44</v>
      </c>
      <c r="I11" s="56">
        <f t="shared" si="1"/>
        <v>0.46043378488415132</v>
      </c>
      <c r="J11" s="57">
        <v>0.34</v>
      </c>
      <c r="K11" s="58">
        <v>200</v>
      </c>
      <c r="L11" s="59">
        <v>0.8</v>
      </c>
      <c r="M11" s="60">
        <f t="shared" si="2"/>
        <v>0.27200000000000002</v>
      </c>
      <c r="N11" s="54" t="s">
        <v>98</v>
      </c>
      <c r="O11" s="66" t="s">
        <v>103</v>
      </c>
      <c r="P11" s="61">
        <f t="shared" si="3"/>
        <v>6500</v>
      </c>
      <c r="Q11" s="60">
        <f t="shared" si="4"/>
        <v>1.407239819004525</v>
      </c>
      <c r="R11" s="60">
        <f t="shared" si="8"/>
        <v>2</v>
      </c>
      <c r="S11" s="60">
        <v>1.25</v>
      </c>
      <c r="T11" s="62">
        <f t="shared" si="7"/>
        <v>4.75</v>
      </c>
      <c r="U11" s="62">
        <f t="shared" si="5"/>
        <v>2.375</v>
      </c>
    </row>
    <row r="12" spans="2:21" x14ac:dyDescent="0.25">
      <c r="B12" s="53">
        <v>9</v>
      </c>
      <c r="C12" s="54" t="s">
        <v>136</v>
      </c>
      <c r="D12" s="54" t="s">
        <v>136</v>
      </c>
      <c r="E12" s="55">
        <v>4</v>
      </c>
      <c r="F12" s="55">
        <v>3.9630000000000001</v>
      </c>
      <c r="G12" s="55">
        <v>3.1</v>
      </c>
      <c r="H12" s="56">
        <f t="shared" si="0"/>
        <v>15.852</v>
      </c>
      <c r="I12" s="56">
        <f t="shared" si="1"/>
        <v>0.64216355482817711</v>
      </c>
      <c r="J12" s="57">
        <v>0.34</v>
      </c>
      <c r="K12" s="58">
        <v>300</v>
      </c>
      <c r="L12" s="59">
        <v>0.8</v>
      </c>
      <c r="M12" s="60">
        <f t="shared" si="2"/>
        <v>0.27200000000000002</v>
      </c>
      <c r="N12" s="54" t="s">
        <v>98</v>
      </c>
      <c r="O12" s="66" t="s">
        <v>103</v>
      </c>
      <c r="P12" s="61">
        <f t="shared" si="3"/>
        <v>6500</v>
      </c>
      <c r="Q12" s="60">
        <f t="shared" si="4"/>
        <v>2.6898190045248871</v>
      </c>
      <c r="R12" s="60">
        <f t="shared" si="8"/>
        <v>3</v>
      </c>
      <c r="S12" s="60">
        <v>1.25</v>
      </c>
      <c r="T12" s="62">
        <f t="shared" si="7"/>
        <v>3.875</v>
      </c>
      <c r="U12" s="62">
        <f t="shared" si="5"/>
        <v>1.9375</v>
      </c>
    </row>
    <row r="13" spans="2:21" x14ac:dyDescent="0.25">
      <c r="B13" s="53">
        <v>10</v>
      </c>
      <c r="C13" s="54" t="s">
        <v>137</v>
      </c>
      <c r="D13" s="54" t="s">
        <v>138</v>
      </c>
      <c r="E13" s="55">
        <v>15.12</v>
      </c>
      <c r="F13" s="55">
        <v>12</v>
      </c>
      <c r="G13" s="55">
        <f t="shared" ref="G13" si="9">3.8-0.7</f>
        <v>3.0999999999999996</v>
      </c>
      <c r="H13" s="56">
        <f t="shared" si="0"/>
        <v>181.44</v>
      </c>
      <c r="I13" s="56">
        <f t="shared" si="1"/>
        <v>2.1581501570082788</v>
      </c>
      <c r="J13" s="57">
        <v>0.56000000000000005</v>
      </c>
      <c r="K13" s="58">
        <v>500</v>
      </c>
      <c r="L13" s="59">
        <v>0.8</v>
      </c>
      <c r="M13" s="60">
        <f t="shared" si="2"/>
        <v>0.44800000000000006</v>
      </c>
      <c r="N13" s="54" t="s">
        <v>98</v>
      </c>
      <c r="O13" s="66" t="s">
        <v>103</v>
      </c>
      <c r="P13" s="61">
        <f t="shared" si="3"/>
        <v>6500</v>
      </c>
      <c r="Q13" s="60">
        <f t="shared" si="4"/>
        <v>31.15384615384615</v>
      </c>
      <c r="R13" s="60">
        <f t="shared" si="8"/>
        <v>32</v>
      </c>
      <c r="S13" s="60">
        <v>1.25</v>
      </c>
      <c r="T13" s="62">
        <f t="shared" si="7"/>
        <v>3.8749999999999996</v>
      </c>
      <c r="U13" s="62">
        <f t="shared" si="5"/>
        <v>1.9374999999999998</v>
      </c>
    </row>
    <row r="14" spans="2:21" x14ac:dyDescent="0.25">
      <c r="B14" s="53">
        <v>11</v>
      </c>
      <c r="C14" s="54" t="s">
        <v>139</v>
      </c>
      <c r="D14" s="54" t="s">
        <v>140</v>
      </c>
      <c r="E14" s="55">
        <v>3.75</v>
      </c>
      <c r="F14" s="55">
        <v>4.8899999999999997</v>
      </c>
      <c r="G14" s="55">
        <v>3.8</v>
      </c>
      <c r="H14" s="56">
        <f t="shared" si="0"/>
        <v>18.337499999999999</v>
      </c>
      <c r="I14" s="56">
        <f t="shared" si="1"/>
        <v>0.55852521929824561</v>
      </c>
      <c r="J14" s="57">
        <v>0.34</v>
      </c>
      <c r="K14" s="58">
        <v>200</v>
      </c>
      <c r="L14" s="59">
        <v>0.8</v>
      </c>
      <c r="M14" s="60">
        <f t="shared" si="2"/>
        <v>0.27200000000000002</v>
      </c>
      <c r="N14" s="54" t="s">
        <v>101</v>
      </c>
      <c r="O14" s="67" t="s">
        <v>104</v>
      </c>
      <c r="P14" s="61">
        <v>3250</v>
      </c>
      <c r="Q14" s="60">
        <f t="shared" si="4"/>
        <v>4.1487556561085972</v>
      </c>
      <c r="R14" s="60">
        <f t="shared" si="8"/>
        <v>5</v>
      </c>
      <c r="S14" s="60">
        <v>1.25</v>
      </c>
      <c r="T14" s="62">
        <f t="shared" si="7"/>
        <v>4.75</v>
      </c>
      <c r="U14" s="62">
        <f t="shared" si="5"/>
        <v>2.375</v>
      </c>
    </row>
    <row r="15" spans="2:21" x14ac:dyDescent="0.25">
      <c r="B15" s="53">
        <v>12</v>
      </c>
      <c r="C15" s="54" t="s">
        <v>141</v>
      </c>
      <c r="D15" s="54" t="s">
        <v>142</v>
      </c>
      <c r="E15" s="55">
        <v>3.75</v>
      </c>
      <c r="F15" s="55">
        <v>4.8899999999999997</v>
      </c>
      <c r="G15" s="55">
        <v>3.8</v>
      </c>
      <c r="H15" s="56">
        <f t="shared" si="0"/>
        <v>18.337499999999999</v>
      </c>
      <c r="I15" s="56">
        <f t="shared" si="1"/>
        <v>0.55852521929824561</v>
      </c>
      <c r="J15" s="57">
        <v>0.34</v>
      </c>
      <c r="K15" s="58">
        <v>200</v>
      </c>
      <c r="L15" s="59">
        <v>0.8</v>
      </c>
      <c r="M15" s="60">
        <f t="shared" si="2"/>
        <v>0.27200000000000002</v>
      </c>
      <c r="N15" s="54" t="s">
        <v>101</v>
      </c>
      <c r="O15" s="67" t="s">
        <v>104</v>
      </c>
      <c r="P15" s="61">
        <v>3250</v>
      </c>
      <c r="Q15" s="60">
        <f t="shared" si="4"/>
        <v>4.1487556561085972</v>
      </c>
      <c r="R15" s="60">
        <f t="shared" si="8"/>
        <v>5</v>
      </c>
      <c r="S15" s="60">
        <v>1.25</v>
      </c>
      <c r="T15" s="62">
        <f t="shared" si="7"/>
        <v>4.75</v>
      </c>
      <c r="U15" s="62">
        <f t="shared" si="5"/>
        <v>2.375</v>
      </c>
    </row>
    <row r="16" spans="2:21" x14ac:dyDescent="0.25">
      <c r="B16" s="53">
        <v>13</v>
      </c>
      <c r="C16" s="54" t="s">
        <v>143</v>
      </c>
      <c r="D16" s="54" t="s">
        <v>144</v>
      </c>
      <c r="E16" s="55">
        <v>3</v>
      </c>
      <c r="F16" s="55">
        <v>7.4249999999999998</v>
      </c>
      <c r="G16" s="55">
        <v>3.8</v>
      </c>
      <c r="H16" s="56">
        <f t="shared" si="0"/>
        <v>22.274999999999999</v>
      </c>
      <c r="I16" s="56">
        <f t="shared" si="1"/>
        <v>0.56228701249526691</v>
      </c>
      <c r="J16" s="57">
        <v>0.34</v>
      </c>
      <c r="K16" s="58">
        <v>300</v>
      </c>
      <c r="L16" s="59">
        <v>0.8</v>
      </c>
      <c r="M16" s="60">
        <f t="shared" si="2"/>
        <v>0.27200000000000002</v>
      </c>
      <c r="N16" s="54" t="s">
        <v>101</v>
      </c>
      <c r="O16" s="67" t="s">
        <v>104</v>
      </c>
      <c r="P16" s="61">
        <v>3250</v>
      </c>
      <c r="Q16" s="60">
        <f t="shared" si="4"/>
        <v>7.5593891402714934</v>
      </c>
      <c r="R16" s="60">
        <f t="shared" si="8"/>
        <v>8</v>
      </c>
      <c r="S16" s="60">
        <v>1.25</v>
      </c>
      <c r="T16" s="62">
        <f t="shared" si="7"/>
        <v>4.75</v>
      </c>
      <c r="U16" s="62">
        <f t="shared" si="5"/>
        <v>2.375</v>
      </c>
    </row>
    <row r="17" spans="2:21" x14ac:dyDescent="0.25">
      <c r="B17" s="53">
        <v>14</v>
      </c>
      <c r="C17" s="54" t="s">
        <v>31</v>
      </c>
      <c r="D17" s="54" t="s">
        <v>145</v>
      </c>
      <c r="E17" s="55">
        <v>2</v>
      </c>
      <c r="F17" s="55">
        <v>5.75</v>
      </c>
      <c r="G17" s="55">
        <v>3.8</v>
      </c>
      <c r="H17" s="56">
        <f t="shared" si="0"/>
        <v>11.5</v>
      </c>
      <c r="I17" s="56">
        <f t="shared" si="1"/>
        <v>0.39049235993208831</v>
      </c>
      <c r="J17" s="57">
        <v>0.34</v>
      </c>
      <c r="K17" s="58">
        <v>150</v>
      </c>
      <c r="L17" s="59">
        <v>0.8</v>
      </c>
      <c r="M17" s="60">
        <f t="shared" si="2"/>
        <v>0.27200000000000002</v>
      </c>
      <c r="N17" s="54" t="s">
        <v>101</v>
      </c>
      <c r="O17" s="67" t="s">
        <v>104</v>
      </c>
      <c r="P17" s="61">
        <v>3250</v>
      </c>
      <c r="Q17" s="60">
        <f t="shared" ref="Q17:Q23" si="10">(K17*H17)/($P$18*$J$18*$L$18)</f>
        <v>1.9513574660633484</v>
      </c>
      <c r="R17" s="60">
        <f t="shared" si="8"/>
        <v>2</v>
      </c>
      <c r="S17" s="60">
        <v>1.25</v>
      </c>
      <c r="T17" s="62">
        <f t="shared" si="7"/>
        <v>4.75</v>
      </c>
      <c r="U17" s="62">
        <f t="shared" si="5"/>
        <v>2.375</v>
      </c>
    </row>
    <row r="18" spans="2:21" x14ac:dyDescent="0.25">
      <c r="B18" s="53">
        <v>15</v>
      </c>
      <c r="C18" s="63" t="s">
        <v>146</v>
      </c>
      <c r="D18" s="54" t="s">
        <v>147</v>
      </c>
      <c r="E18" s="55">
        <v>4.2750000000000004</v>
      </c>
      <c r="F18" s="55">
        <v>3.52</v>
      </c>
      <c r="G18" s="55">
        <v>3.1</v>
      </c>
      <c r="H18" s="56">
        <f t="shared" si="0"/>
        <v>15.048000000000002</v>
      </c>
      <c r="I18" s="56">
        <f t="shared" si="1"/>
        <v>0.62273169318628574</v>
      </c>
      <c r="J18" s="57">
        <v>0.34</v>
      </c>
      <c r="K18" s="58">
        <v>300</v>
      </c>
      <c r="L18" s="59">
        <v>0.8</v>
      </c>
      <c r="M18" s="60">
        <f t="shared" si="2"/>
        <v>0.27200000000000002</v>
      </c>
      <c r="N18" s="54" t="s">
        <v>101</v>
      </c>
      <c r="O18" s="67" t="s">
        <v>104</v>
      </c>
      <c r="P18" s="61">
        <v>3250</v>
      </c>
      <c r="Q18" s="60">
        <f t="shared" si="10"/>
        <v>5.1067873303167426</v>
      </c>
      <c r="R18" s="60">
        <v>4</v>
      </c>
      <c r="S18" s="60">
        <v>1.25</v>
      </c>
      <c r="T18" s="62">
        <f t="shared" si="7"/>
        <v>3.875</v>
      </c>
      <c r="U18" s="62">
        <f t="shared" si="5"/>
        <v>1.9375</v>
      </c>
    </row>
    <row r="19" spans="2:21" x14ac:dyDescent="0.25">
      <c r="B19" s="53">
        <v>16</v>
      </c>
      <c r="C19" s="54" t="s">
        <v>148</v>
      </c>
      <c r="D19" s="54" t="s">
        <v>149</v>
      </c>
      <c r="E19" s="55">
        <v>7</v>
      </c>
      <c r="F19" s="55">
        <v>2.5099999999999998</v>
      </c>
      <c r="G19" s="55">
        <v>3.8</v>
      </c>
      <c r="H19" s="56">
        <f t="shared" si="0"/>
        <v>17.57</v>
      </c>
      <c r="I19" s="56">
        <f t="shared" si="1"/>
        <v>0.48619182024461788</v>
      </c>
      <c r="J19" s="57">
        <v>0.34</v>
      </c>
      <c r="K19" s="58">
        <v>100</v>
      </c>
      <c r="L19" s="59">
        <v>0.8</v>
      </c>
      <c r="M19" s="60">
        <f t="shared" si="2"/>
        <v>0.27200000000000002</v>
      </c>
      <c r="N19" s="54" t="s">
        <v>101</v>
      </c>
      <c r="O19" s="67" t="s">
        <v>104</v>
      </c>
      <c r="P19" s="61">
        <v>3250</v>
      </c>
      <c r="Q19" s="60">
        <f t="shared" si="10"/>
        <v>1.9875565610859729</v>
      </c>
      <c r="R19" s="60">
        <f t="shared" ref="R19:R23" si="11">ROUNDUP(Q19,0)</f>
        <v>2</v>
      </c>
      <c r="S19" s="60">
        <v>1.25</v>
      </c>
      <c r="T19" s="62">
        <f t="shared" si="7"/>
        <v>4.75</v>
      </c>
      <c r="U19" s="62">
        <f t="shared" si="5"/>
        <v>2.375</v>
      </c>
    </row>
    <row r="20" spans="2:21" x14ac:dyDescent="0.25">
      <c r="B20" s="53">
        <v>17</v>
      </c>
      <c r="C20" s="63" t="s">
        <v>146</v>
      </c>
      <c r="D20" s="54" t="s">
        <v>150</v>
      </c>
      <c r="E20" s="55">
        <v>3.49</v>
      </c>
      <c r="F20" s="55">
        <v>4.7249999999999996</v>
      </c>
      <c r="G20" s="55">
        <v>3.1</v>
      </c>
      <c r="H20" s="56">
        <f t="shared" si="0"/>
        <v>16.49025</v>
      </c>
      <c r="I20" s="56">
        <f t="shared" si="1"/>
        <v>0.64752714350224805</v>
      </c>
      <c r="J20" s="57">
        <v>0.34</v>
      </c>
      <c r="K20" s="58">
        <v>300</v>
      </c>
      <c r="L20" s="59">
        <v>0.8</v>
      </c>
      <c r="M20" s="60">
        <f t="shared" si="2"/>
        <v>0.27200000000000002</v>
      </c>
      <c r="N20" s="54" t="s">
        <v>101</v>
      </c>
      <c r="O20" s="67" t="s">
        <v>104</v>
      </c>
      <c r="P20" s="61">
        <v>3250</v>
      </c>
      <c r="Q20" s="60">
        <f t="shared" si="10"/>
        <v>5.5962386877828054</v>
      </c>
      <c r="R20" s="60">
        <f t="shared" si="11"/>
        <v>6</v>
      </c>
      <c r="S20" s="60">
        <v>1.25</v>
      </c>
      <c r="T20" s="62">
        <f t="shared" si="7"/>
        <v>3.875</v>
      </c>
      <c r="U20" s="62">
        <f t="shared" si="5"/>
        <v>1.9375</v>
      </c>
    </row>
    <row r="21" spans="2:21" x14ac:dyDescent="0.25">
      <c r="B21" s="53">
        <v>18</v>
      </c>
      <c r="C21" s="54" t="s">
        <v>151</v>
      </c>
      <c r="D21" s="54" t="s">
        <v>152</v>
      </c>
      <c r="E21" s="55">
        <v>3.49</v>
      </c>
      <c r="F21" s="55">
        <v>4.7249999999999996</v>
      </c>
      <c r="G21" s="55">
        <v>3.8</v>
      </c>
      <c r="H21" s="56">
        <f t="shared" si="0"/>
        <v>16.49025</v>
      </c>
      <c r="I21" s="56">
        <f t="shared" si="1"/>
        <v>0.52824582759393923</v>
      </c>
      <c r="J21" s="57">
        <v>0.34</v>
      </c>
      <c r="K21" s="58">
        <v>200</v>
      </c>
      <c r="L21" s="59">
        <v>0.8</v>
      </c>
      <c r="M21" s="60">
        <f t="shared" si="2"/>
        <v>0.27200000000000002</v>
      </c>
      <c r="N21" s="54" t="s">
        <v>98</v>
      </c>
      <c r="O21" s="66" t="s">
        <v>103</v>
      </c>
      <c r="P21" s="61">
        <f>3250*2</f>
        <v>6500</v>
      </c>
      <c r="Q21" s="60">
        <f t="shared" si="10"/>
        <v>3.7308257918552035</v>
      </c>
      <c r="R21" s="60">
        <f t="shared" si="11"/>
        <v>4</v>
      </c>
      <c r="S21" s="60">
        <v>1.25</v>
      </c>
      <c r="T21" s="62">
        <f t="shared" si="7"/>
        <v>4.75</v>
      </c>
      <c r="U21" s="62">
        <f t="shared" si="5"/>
        <v>2.375</v>
      </c>
    </row>
    <row r="22" spans="2:21" x14ac:dyDescent="0.25">
      <c r="B22" s="53">
        <v>19</v>
      </c>
      <c r="C22" s="54" t="s">
        <v>153</v>
      </c>
      <c r="D22" s="54" t="s">
        <v>154</v>
      </c>
      <c r="E22" s="55">
        <v>7</v>
      </c>
      <c r="F22" s="55">
        <v>2.5099999999999998</v>
      </c>
      <c r="G22" s="55">
        <v>3.8</v>
      </c>
      <c r="H22" s="56">
        <f t="shared" si="0"/>
        <v>17.57</v>
      </c>
      <c r="I22" s="56">
        <f t="shared" si="1"/>
        <v>0.48619182024461788</v>
      </c>
      <c r="J22" s="57">
        <v>0.34</v>
      </c>
      <c r="K22" s="58">
        <v>150</v>
      </c>
      <c r="L22" s="59">
        <v>0.8</v>
      </c>
      <c r="M22" s="60">
        <f t="shared" si="2"/>
        <v>0.27200000000000002</v>
      </c>
      <c r="N22" s="54" t="s">
        <v>101</v>
      </c>
      <c r="O22" s="67" t="s">
        <v>104</v>
      </c>
      <c r="P22" s="61">
        <v>3250</v>
      </c>
      <c r="Q22" s="60">
        <f t="shared" si="10"/>
        <v>2.9813348416289593</v>
      </c>
      <c r="R22" s="60">
        <f t="shared" si="11"/>
        <v>3</v>
      </c>
      <c r="S22" s="60">
        <v>1.25</v>
      </c>
      <c r="T22" s="62">
        <f t="shared" si="7"/>
        <v>4.75</v>
      </c>
      <c r="U22" s="62">
        <f t="shared" si="5"/>
        <v>2.375</v>
      </c>
    </row>
    <row r="23" spans="2:21" x14ac:dyDescent="0.25">
      <c r="B23" s="53">
        <v>20</v>
      </c>
      <c r="C23" s="54" t="s">
        <v>155</v>
      </c>
      <c r="D23" s="54" t="s">
        <v>156</v>
      </c>
      <c r="E23" s="64">
        <v>7.12</v>
      </c>
      <c r="F23" s="64">
        <v>7.05</v>
      </c>
      <c r="G23" s="55">
        <v>3.8</v>
      </c>
      <c r="H23" s="56">
        <f t="shared" si="0"/>
        <v>50.195999999999998</v>
      </c>
      <c r="I23" s="56">
        <f t="shared" si="1"/>
        <v>0.93221409204026295</v>
      </c>
      <c r="J23" s="57">
        <v>0.4</v>
      </c>
      <c r="K23" s="58">
        <v>50</v>
      </c>
      <c r="L23" s="59">
        <v>0.8</v>
      </c>
      <c r="M23" s="60">
        <f t="shared" si="2"/>
        <v>0.32000000000000006</v>
      </c>
      <c r="N23" s="54" t="s">
        <v>101</v>
      </c>
      <c r="O23" s="67" t="s">
        <v>104</v>
      </c>
      <c r="P23" s="61">
        <v>3250</v>
      </c>
      <c r="Q23" s="60">
        <f t="shared" si="10"/>
        <v>2.8391402714932124</v>
      </c>
      <c r="R23" s="60">
        <f t="shared" si="11"/>
        <v>3</v>
      </c>
      <c r="S23" s="60">
        <v>1.25</v>
      </c>
      <c r="T23" s="62">
        <f t="shared" si="7"/>
        <v>4.75</v>
      </c>
      <c r="U23" s="62">
        <f t="shared" si="5"/>
        <v>2.375</v>
      </c>
    </row>
  </sheetData>
  <mergeCells count="1">
    <mergeCell ref="D1:P1"/>
  </mergeCells>
  <pageMargins left="0.7" right="0.7" top="0.75" bottom="0.75" header="0.3" footer="0.3"/>
  <pageSetup paperSize="12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AACF-C5F9-4D09-949C-4FA51395A9DE}">
  <dimension ref="B1:T22"/>
  <sheetViews>
    <sheetView topLeftCell="D1" zoomScale="130" zoomScaleNormal="130" workbookViewId="0">
      <selection activeCell="B2" sqref="B2:T22"/>
    </sheetView>
  </sheetViews>
  <sheetFormatPr defaultRowHeight="15" x14ac:dyDescent="0.25"/>
  <cols>
    <col min="2" max="2" width="3.28515625" bestFit="1" customWidth="1"/>
    <col min="3" max="3" width="25.140625" bestFit="1" customWidth="1"/>
    <col min="4" max="4" width="6.7109375" bestFit="1" customWidth="1"/>
    <col min="5" max="5" width="6.140625" bestFit="1" customWidth="1"/>
    <col min="6" max="6" width="15.140625" bestFit="1" customWidth="1"/>
    <col min="7" max="7" width="10.85546875" bestFit="1" customWidth="1"/>
    <col min="8" max="8" width="12" bestFit="1" customWidth="1"/>
    <col min="9" max="9" width="5" bestFit="1" customWidth="1"/>
    <col min="10" max="10" width="14.42578125" bestFit="1" customWidth="1"/>
    <col min="11" max="11" width="4" bestFit="1" customWidth="1"/>
    <col min="12" max="12" width="11.7109375" bestFit="1" customWidth="1"/>
    <col min="13" max="13" width="10.28515625" bestFit="1" customWidth="1"/>
    <col min="14" max="14" width="21.140625" bestFit="1" customWidth="1"/>
    <col min="15" max="15" width="14.28515625" bestFit="1" customWidth="1"/>
    <col min="16" max="16" width="12" bestFit="1" customWidth="1"/>
    <col min="17" max="17" width="13.7109375" bestFit="1" customWidth="1"/>
    <col min="18" max="18" width="9.42578125" bestFit="1" customWidth="1"/>
    <col min="19" max="20" width="7" bestFit="1" customWidth="1"/>
  </cols>
  <sheetData>
    <row r="1" spans="2:20" x14ac:dyDescent="0.25">
      <c r="D1" s="69" t="s">
        <v>0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2:20" x14ac:dyDescent="0.25">
      <c r="B2" s="77" t="s">
        <v>1</v>
      </c>
      <c r="C2" s="77" t="s">
        <v>118</v>
      </c>
      <c r="D2" s="21" t="s">
        <v>2</v>
      </c>
      <c r="E2" s="21" t="s">
        <v>3</v>
      </c>
      <c r="F2" s="31" t="s">
        <v>4</v>
      </c>
      <c r="G2" s="21" t="s">
        <v>5</v>
      </c>
      <c r="H2" s="31" t="s">
        <v>6</v>
      </c>
      <c r="I2" s="21" t="s">
        <v>7</v>
      </c>
      <c r="J2" s="31" t="s">
        <v>8</v>
      </c>
      <c r="K2" s="21" t="s">
        <v>9</v>
      </c>
      <c r="L2" s="21" t="s">
        <v>10</v>
      </c>
      <c r="M2" s="79" t="s">
        <v>11</v>
      </c>
      <c r="N2" s="77" t="s">
        <v>12</v>
      </c>
      <c r="O2" s="21" t="s">
        <v>13</v>
      </c>
      <c r="P2" s="31" t="s">
        <v>14</v>
      </c>
      <c r="Q2" s="21" t="s">
        <v>15</v>
      </c>
      <c r="R2" s="77" t="s">
        <v>106</v>
      </c>
      <c r="S2" s="77" t="s">
        <v>107</v>
      </c>
      <c r="T2" s="77" t="s">
        <v>115</v>
      </c>
    </row>
    <row r="3" spans="2:20" x14ac:dyDescent="0.25">
      <c r="B3" s="78"/>
      <c r="C3" s="78"/>
      <c r="D3" s="21" t="s">
        <v>16</v>
      </c>
      <c r="E3" s="21" t="s">
        <v>17</v>
      </c>
      <c r="F3" s="21" t="s">
        <v>18</v>
      </c>
      <c r="G3" s="21" t="s">
        <v>19</v>
      </c>
      <c r="H3" s="21" t="s">
        <v>20</v>
      </c>
      <c r="I3" s="21"/>
      <c r="J3" s="21" t="s">
        <v>21</v>
      </c>
      <c r="K3" s="21"/>
      <c r="L3" s="21" t="s">
        <v>22</v>
      </c>
      <c r="M3" s="80"/>
      <c r="N3" s="78"/>
      <c r="O3" s="31" t="s">
        <v>121</v>
      </c>
      <c r="P3" s="21" t="s">
        <v>23</v>
      </c>
      <c r="Q3" s="21" t="s">
        <v>24</v>
      </c>
      <c r="R3" s="78"/>
      <c r="S3" s="78"/>
      <c r="T3" s="78"/>
    </row>
    <row r="4" spans="2:20" x14ac:dyDescent="0.25">
      <c r="B4" s="22">
        <v>1</v>
      </c>
      <c r="C4" s="22" t="s">
        <v>157</v>
      </c>
      <c r="D4" s="23">
        <v>4.9800000000000004</v>
      </c>
      <c r="E4" s="23">
        <v>3.98</v>
      </c>
      <c r="F4" s="23">
        <v>3.1</v>
      </c>
      <c r="G4" s="22">
        <f>D4*E4</f>
        <v>19.820400000000003</v>
      </c>
      <c r="H4" s="24">
        <f>(D4*E4)/(F4*(D4+E4))</f>
        <v>0.71358006912442395</v>
      </c>
      <c r="I4" s="25">
        <v>0.32</v>
      </c>
      <c r="J4" s="26">
        <v>300</v>
      </c>
      <c r="K4" s="27">
        <v>0.8</v>
      </c>
      <c r="L4" s="22">
        <f>I4*K4</f>
        <v>0.25600000000000001</v>
      </c>
      <c r="M4" s="65" t="s">
        <v>98</v>
      </c>
      <c r="N4" s="66" t="s">
        <v>103</v>
      </c>
      <c r="O4" s="28">
        <v>6500</v>
      </c>
      <c r="P4" s="22">
        <f>(D4*E4*J4)/(K4*I4*O4)</f>
        <v>3.5733894230769234</v>
      </c>
      <c r="Q4" s="29">
        <v>4</v>
      </c>
      <c r="R4" s="22">
        <v>1.25</v>
      </c>
      <c r="S4" s="22">
        <f>R4*F4</f>
        <v>3.875</v>
      </c>
      <c r="T4" s="22">
        <f>S4/2</f>
        <v>1.9375</v>
      </c>
    </row>
    <row r="5" spans="2:20" x14ac:dyDescent="0.25">
      <c r="B5" s="22">
        <v>2</v>
      </c>
      <c r="C5" s="22" t="s">
        <v>124</v>
      </c>
      <c r="D5" s="23">
        <v>4.9800000000000004</v>
      </c>
      <c r="E5" s="23">
        <v>3.98</v>
      </c>
      <c r="F5" s="23">
        <v>3.1</v>
      </c>
      <c r="G5" s="22">
        <v>19.820400000000003</v>
      </c>
      <c r="H5" s="24">
        <f t="shared" ref="H5:H22" si="0">(D5*E5)/(F5*(D5+E5))</f>
        <v>0.71358006912442395</v>
      </c>
      <c r="I5" s="25">
        <v>0.34</v>
      </c>
      <c r="J5" s="26">
        <v>100</v>
      </c>
      <c r="K5" s="27">
        <v>0.8</v>
      </c>
      <c r="L5" s="22">
        <f t="shared" ref="L5:L22" si="1">I5*K5</f>
        <v>0.27200000000000002</v>
      </c>
      <c r="M5" s="65" t="s">
        <v>101</v>
      </c>
      <c r="N5" s="67" t="s">
        <v>104</v>
      </c>
      <c r="O5" s="28">
        <v>3250</v>
      </c>
      <c r="P5" s="22">
        <f t="shared" ref="P5:P22" si="2">(D5*E5*J5)/(K5*I5*O5)</f>
        <v>2.242126696832579</v>
      </c>
      <c r="Q5" s="29">
        <v>3</v>
      </c>
      <c r="R5" s="22">
        <v>1.25</v>
      </c>
      <c r="S5" s="22">
        <f t="shared" ref="S5:S22" si="3">R5*F5</f>
        <v>3.875</v>
      </c>
      <c r="T5" s="22">
        <f t="shared" ref="T5:T22" si="4">S5/2</f>
        <v>1.9375</v>
      </c>
    </row>
    <row r="6" spans="2:20" x14ac:dyDescent="0.25">
      <c r="B6" s="22">
        <v>3</v>
      </c>
      <c r="C6" s="22" t="s">
        <v>145</v>
      </c>
      <c r="D6" s="23">
        <v>5.1100000000000003</v>
      </c>
      <c r="E6" s="23">
        <v>4</v>
      </c>
      <c r="F6" s="23">
        <v>3.8</v>
      </c>
      <c r="G6" s="22">
        <v>20.440000000000001</v>
      </c>
      <c r="H6" s="24">
        <f t="shared" si="0"/>
        <v>0.59044427754347462</v>
      </c>
      <c r="I6" s="25">
        <v>0.34</v>
      </c>
      <c r="J6" s="26">
        <v>100</v>
      </c>
      <c r="K6" s="27">
        <v>0.8</v>
      </c>
      <c r="L6" s="22">
        <f t="shared" si="1"/>
        <v>0.27200000000000002</v>
      </c>
      <c r="M6" s="65" t="s">
        <v>101</v>
      </c>
      <c r="N6" s="67" t="s">
        <v>104</v>
      </c>
      <c r="O6" s="28">
        <v>3250</v>
      </c>
      <c r="P6" s="22">
        <f t="shared" si="2"/>
        <v>2.3122171945701355</v>
      </c>
      <c r="Q6" s="29">
        <v>3</v>
      </c>
      <c r="R6" s="22">
        <v>1.25</v>
      </c>
      <c r="S6" s="22">
        <f t="shared" si="3"/>
        <v>4.75</v>
      </c>
      <c r="T6" s="22">
        <f t="shared" si="4"/>
        <v>2.375</v>
      </c>
    </row>
    <row r="7" spans="2:20" x14ac:dyDescent="0.25">
      <c r="B7" s="22">
        <v>4</v>
      </c>
      <c r="C7" s="22" t="s">
        <v>158</v>
      </c>
      <c r="D7" s="23">
        <v>4</v>
      </c>
      <c r="E7" s="23">
        <v>3</v>
      </c>
      <c r="F7" s="23">
        <v>3.1</v>
      </c>
      <c r="G7" s="22">
        <v>12</v>
      </c>
      <c r="H7" s="24">
        <f t="shared" si="0"/>
        <v>0.55299539170506917</v>
      </c>
      <c r="I7" s="25">
        <v>0.34</v>
      </c>
      <c r="J7" s="26">
        <v>100</v>
      </c>
      <c r="K7" s="27">
        <v>0.8</v>
      </c>
      <c r="L7" s="22">
        <f t="shared" si="1"/>
        <v>0.27200000000000002</v>
      </c>
      <c r="M7" s="65" t="s">
        <v>101</v>
      </c>
      <c r="N7" s="67" t="s">
        <v>104</v>
      </c>
      <c r="O7" s="28">
        <v>3250</v>
      </c>
      <c r="P7" s="22">
        <f t="shared" si="2"/>
        <v>1.3574660633484161</v>
      </c>
      <c r="Q7" s="29">
        <v>2</v>
      </c>
      <c r="R7" s="22">
        <v>1.25</v>
      </c>
      <c r="S7" s="22">
        <f t="shared" si="3"/>
        <v>3.875</v>
      </c>
      <c r="T7" s="22">
        <f t="shared" si="4"/>
        <v>1.9375</v>
      </c>
    </row>
    <row r="8" spans="2:20" x14ac:dyDescent="0.25">
      <c r="B8" s="22">
        <v>5</v>
      </c>
      <c r="C8" s="22" t="s">
        <v>159</v>
      </c>
      <c r="D8" s="23">
        <v>4</v>
      </c>
      <c r="E8" s="23">
        <v>3.85</v>
      </c>
      <c r="F8" s="23">
        <v>3.1</v>
      </c>
      <c r="G8" s="22">
        <v>15.4</v>
      </c>
      <c r="H8" s="24">
        <f t="shared" si="0"/>
        <v>0.63283336757756314</v>
      </c>
      <c r="I8" s="25">
        <v>0.32</v>
      </c>
      <c r="J8" s="26">
        <v>300</v>
      </c>
      <c r="K8" s="27">
        <v>0.8</v>
      </c>
      <c r="L8" s="22">
        <f t="shared" si="1"/>
        <v>0.25600000000000001</v>
      </c>
      <c r="M8" s="65" t="s">
        <v>98</v>
      </c>
      <c r="N8" s="66" t="s">
        <v>103</v>
      </c>
      <c r="O8" s="28">
        <v>6500</v>
      </c>
      <c r="P8" s="22">
        <f t="shared" si="2"/>
        <v>2.7764423076923075</v>
      </c>
      <c r="Q8" s="29">
        <v>3</v>
      </c>
      <c r="R8" s="22">
        <v>1.25</v>
      </c>
      <c r="S8" s="22">
        <f t="shared" si="3"/>
        <v>3.875</v>
      </c>
      <c r="T8" s="22">
        <f t="shared" si="4"/>
        <v>1.9375</v>
      </c>
    </row>
    <row r="9" spans="2:20" x14ac:dyDescent="0.25">
      <c r="B9" s="22">
        <v>6</v>
      </c>
      <c r="C9" s="22" t="s">
        <v>160</v>
      </c>
      <c r="D9" s="23">
        <v>5.98</v>
      </c>
      <c r="E9" s="23">
        <v>4</v>
      </c>
      <c r="F9" s="23">
        <v>3.1</v>
      </c>
      <c r="G9" s="22">
        <v>23.92</v>
      </c>
      <c r="H9" s="24">
        <f t="shared" si="0"/>
        <v>0.77315922166914475</v>
      </c>
      <c r="I9" s="25">
        <v>0.32</v>
      </c>
      <c r="J9" s="26">
        <v>300</v>
      </c>
      <c r="K9" s="27">
        <v>0.8</v>
      </c>
      <c r="L9" s="22">
        <f t="shared" si="1"/>
        <v>0.25600000000000001</v>
      </c>
      <c r="M9" s="65" t="s">
        <v>98</v>
      </c>
      <c r="N9" s="66" t="s">
        <v>103</v>
      </c>
      <c r="O9" s="28">
        <v>6500</v>
      </c>
      <c r="P9" s="22">
        <f t="shared" si="2"/>
        <v>4.3125000000000009</v>
      </c>
      <c r="Q9" s="29">
        <v>5</v>
      </c>
      <c r="R9" s="22">
        <v>1.25</v>
      </c>
      <c r="S9" s="22">
        <f t="shared" si="3"/>
        <v>3.875</v>
      </c>
      <c r="T9" s="22">
        <f t="shared" si="4"/>
        <v>1.9375</v>
      </c>
    </row>
    <row r="10" spans="2:20" x14ac:dyDescent="0.25">
      <c r="B10" s="22">
        <v>7</v>
      </c>
      <c r="C10" s="22" t="s">
        <v>161</v>
      </c>
      <c r="D10" s="23">
        <v>5.98</v>
      </c>
      <c r="E10" s="23">
        <v>4</v>
      </c>
      <c r="F10" s="23">
        <v>3.1</v>
      </c>
      <c r="G10" s="22">
        <v>23.92</v>
      </c>
      <c r="H10" s="24">
        <f t="shared" si="0"/>
        <v>0.77315922166914475</v>
      </c>
      <c r="I10" s="25">
        <v>0.32</v>
      </c>
      <c r="J10" s="26">
        <v>300</v>
      </c>
      <c r="K10" s="27">
        <v>0.8</v>
      </c>
      <c r="L10" s="22">
        <f t="shared" si="1"/>
        <v>0.25600000000000001</v>
      </c>
      <c r="M10" s="65" t="s">
        <v>98</v>
      </c>
      <c r="N10" s="66" t="s">
        <v>103</v>
      </c>
      <c r="O10" s="28">
        <v>6500</v>
      </c>
      <c r="P10" s="22">
        <f t="shared" si="2"/>
        <v>4.3125000000000009</v>
      </c>
      <c r="Q10" s="29">
        <v>5</v>
      </c>
      <c r="R10" s="22">
        <v>1.25</v>
      </c>
      <c r="S10" s="22">
        <f t="shared" si="3"/>
        <v>3.875</v>
      </c>
      <c r="T10" s="22">
        <f t="shared" si="4"/>
        <v>1.9375</v>
      </c>
    </row>
    <row r="11" spans="2:20" x14ac:dyDescent="0.25">
      <c r="B11" s="22">
        <v>8</v>
      </c>
      <c r="C11" s="22" t="s">
        <v>162</v>
      </c>
      <c r="D11" s="23">
        <v>4</v>
      </c>
      <c r="E11" s="23">
        <v>3.27</v>
      </c>
      <c r="F11" s="23">
        <v>3.1</v>
      </c>
      <c r="G11" s="22">
        <v>13.08</v>
      </c>
      <c r="H11" s="24">
        <f t="shared" si="0"/>
        <v>0.58037893242223904</v>
      </c>
      <c r="I11" s="25">
        <v>0.32</v>
      </c>
      <c r="J11" s="26">
        <v>300</v>
      </c>
      <c r="K11" s="27">
        <v>0.8</v>
      </c>
      <c r="L11" s="22">
        <f t="shared" si="1"/>
        <v>0.25600000000000001</v>
      </c>
      <c r="M11" s="65" t="s">
        <v>98</v>
      </c>
      <c r="N11" s="66" t="s">
        <v>103</v>
      </c>
      <c r="O11" s="28">
        <v>6500</v>
      </c>
      <c r="P11" s="22">
        <f t="shared" si="2"/>
        <v>2.3581730769230771</v>
      </c>
      <c r="Q11" s="29">
        <v>3</v>
      </c>
      <c r="R11" s="22">
        <v>1.25</v>
      </c>
      <c r="S11" s="22">
        <f t="shared" si="3"/>
        <v>3.875</v>
      </c>
      <c r="T11" s="22">
        <f t="shared" si="4"/>
        <v>1.9375</v>
      </c>
    </row>
    <row r="12" spans="2:20" x14ac:dyDescent="0.25">
      <c r="B12" s="22">
        <v>9</v>
      </c>
      <c r="C12" s="22" t="s">
        <v>162</v>
      </c>
      <c r="D12" s="23">
        <v>4</v>
      </c>
      <c r="E12" s="23">
        <v>3.27</v>
      </c>
      <c r="F12" s="23">
        <v>3.1</v>
      </c>
      <c r="G12" s="22">
        <v>13.08</v>
      </c>
      <c r="H12" s="24">
        <f t="shared" si="0"/>
        <v>0.58037893242223904</v>
      </c>
      <c r="I12" s="25">
        <v>0.32</v>
      </c>
      <c r="J12" s="26">
        <v>300</v>
      </c>
      <c r="K12" s="27">
        <v>0.8</v>
      </c>
      <c r="L12" s="22">
        <f t="shared" si="1"/>
        <v>0.25600000000000001</v>
      </c>
      <c r="M12" s="65" t="s">
        <v>98</v>
      </c>
      <c r="N12" s="66" t="s">
        <v>103</v>
      </c>
      <c r="O12" s="28">
        <v>5308</v>
      </c>
      <c r="P12" s="22">
        <f t="shared" si="2"/>
        <v>2.8877402034664659</v>
      </c>
      <c r="Q12" s="29">
        <v>3</v>
      </c>
      <c r="R12" s="22">
        <v>1.25</v>
      </c>
      <c r="S12" s="22">
        <f t="shared" si="3"/>
        <v>3.875</v>
      </c>
      <c r="T12" s="22">
        <f t="shared" si="4"/>
        <v>1.9375</v>
      </c>
    </row>
    <row r="13" spans="2:20" x14ac:dyDescent="0.25">
      <c r="B13" s="22">
        <v>10</v>
      </c>
      <c r="C13" s="22" t="s">
        <v>163</v>
      </c>
      <c r="D13" s="23">
        <v>7.5650000000000004</v>
      </c>
      <c r="E13" s="23">
        <v>4</v>
      </c>
      <c r="F13" s="23">
        <v>3.1</v>
      </c>
      <c r="G13" s="22">
        <v>30.26</v>
      </c>
      <c r="H13" s="24">
        <f t="shared" si="0"/>
        <v>0.84403720904285739</v>
      </c>
      <c r="I13" s="25">
        <v>0.32</v>
      </c>
      <c r="J13" s="26">
        <v>300</v>
      </c>
      <c r="K13" s="27">
        <v>0.8</v>
      </c>
      <c r="L13" s="22">
        <f t="shared" si="1"/>
        <v>0.25600000000000001</v>
      </c>
      <c r="M13" s="65" t="s">
        <v>98</v>
      </c>
      <c r="N13" s="66" t="s">
        <v>103</v>
      </c>
      <c r="O13" s="28">
        <v>6500</v>
      </c>
      <c r="P13" s="22">
        <f t="shared" si="2"/>
        <v>5.4555288461538458</v>
      </c>
      <c r="Q13" s="29">
        <v>6</v>
      </c>
      <c r="R13" s="22">
        <v>1.25</v>
      </c>
      <c r="S13" s="22">
        <f t="shared" si="3"/>
        <v>3.875</v>
      </c>
      <c r="T13" s="22">
        <f t="shared" si="4"/>
        <v>1.9375</v>
      </c>
    </row>
    <row r="14" spans="2:20" x14ac:dyDescent="0.25">
      <c r="B14" s="22">
        <v>11</v>
      </c>
      <c r="C14" s="22" t="s">
        <v>164</v>
      </c>
      <c r="D14" s="23">
        <v>7.4249999999999998</v>
      </c>
      <c r="E14" s="23">
        <v>6.2</v>
      </c>
      <c r="F14" s="23">
        <v>3.8</v>
      </c>
      <c r="G14" s="22">
        <v>46.035000000000004</v>
      </c>
      <c r="H14" s="24">
        <f t="shared" si="0"/>
        <v>0.8891356832448094</v>
      </c>
      <c r="I14" s="25">
        <v>0.4</v>
      </c>
      <c r="J14" s="26">
        <v>100</v>
      </c>
      <c r="K14" s="27">
        <v>0.8</v>
      </c>
      <c r="L14" s="22">
        <f t="shared" si="1"/>
        <v>0.32000000000000006</v>
      </c>
      <c r="M14" s="65" t="s">
        <v>101</v>
      </c>
      <c r="N14" s="67" t="s">
        <v>104</v>
      </c>
      <c r="O14" s="28">
        <v>3250</v>
      </c>
      <c r="P14" s="22">
        <f t="shared" si="2"/>
        <v>4.426442307692307</v>
      </c>
      <c r="Q14" s="29">
        <v>8</v>
      </c>
      <c r="R14" s="22">
        <v>1.25</v>
      </c>
      <c r="S14" s="22">
        <f t="shared" si="3"/>
        <v>4.75</v>
      </c>
      <c r="T14" s="22">
        <f t="shared" si="4"/>
        <v>2.375</v>
      </c>
    </row>
    <row r="15" spans="2:20" x14ac:dyDescent="0.25">
      <c r="B15" s="22">
        <v>12</v>
      </c>
      <c r="C15" s="22" t="s">
        <v>165</v>
      </c>
      <c r="D15" s="23">
        <v>7.4249999999999998</v>
      </c>
      <c r="E15" s="23">
        <v>3</v>
      </c>
      <c r="F15" s="23">
        <v>3.8</v>
      </c>
      <c r="G15" s="22">
        <v>22.274999999999999</v>
      </c>
      <c r="H15" s="24">
        <f t="shared" si="0"/>
        <v>0.56228701249526691</v>
      </c>
      <c r="I15" s="25">
        <v>0.34</v>
      </c>
      <c r="J15" s="26">
        <v>100</v>
      </c>
      <c r="K15" s="27">
        <v>0.8</v>
      </c>
      <c r="L15" s="22">
        <f t="shared" si="1"/>
        <v>0.27200000000000002</v>
      </c>
      <c r="M15" s="65" t="s">
        <v>101</v>
      </c>
      <c r="N15" s="67" t="s">
        <v>104</v>
      </c>
      <c r="O15" s="28">
        <v>3250</v>
      </c>
      <c r="P15" s="22">
        <f t="shared" si="2"/>
        <v>2.5197963800904972</v>
      </c>
      <c r="Q15" s="29">
        <v>3</v>
      </c>
      <c r="R15" s="22">
        <v>1.25</v>
      </c>
      <c r="S15" s="22">
        <f t="shared" si="3"/>
        <v>4.75</v>
      </c>
      <c r="T15" s="22">
        <f t="shared" si="4"/>
        <v>2.375</v>
      </c>
    </row>
    <row r="16" spans="2:20" x14ac:dyDescent="0.25">
      <c r="B16" s="22">
        <v>13</v>
      </c>
      <c r="C16" s="22" t="s">
        <v>166</v>
      </c>
      <c r="D16" s="23">
        <v>5.77</v>
      </c>
      <c r="E16" s="23">
        <v>2</v>
      </c>
      <c r="F16" s="23">
        <v>3.8</v>
      </c>
      <c r="G16" s="22">
        <v>11.54</v>
      </c>
      <c r="H16" s="24">
        <f t="shared" si="0"/>
        <v>0.39084196978933822</v>
      </c>
      <c r="I16" s="25">
        <v>0.34</v>
      </c>
      <c r="J16" s="26">
        <v>100</v>
      </c>
      <c r="K16" s="27">
        <v>0.8</v>
      </c>
      <c r="L16" s="22">
        <f t="shared" si="1"/>
        <v>0.27200000000000002</v>
      </c>
      <c r="M16" s="65" t="s">
        <v>101</v>
      </c>
      <c r="N16" s="67" t="s">
        <v>104</v>
      </c>
      <c r="O16" s="28">
        <v>3250</v>
      </c>
      <c r="P16" s="22">
        <f t="shared" si="2"/>
        <v>1.3054298642533935</v>
      </c>
      <c r="Q16" s="29">
        <v>2</v>
      </c>
      <c r="R16" s="22">
        <v>1.25</v>
      </c>
      <c r="S16" s="22">
        <f t="shared" si="3"/>
        <v>4.75</v>
      </c>
      <c r="T16" s="22">
        <f t="shared" si="4"/>
        <v>2.375</v>
      </c>
    </row>
    <row r="17" spans="2:20" x14ac:dyDescent="0.25">
      <c r="B17" s="22">
        <v>14</v>
      </c>
      <c r="C17" s="22" t="s">
        <v>167</v>
      </c>
      <c r="D17" s="23">
        <v>4.7249999999999996</v>
      </c>
      <c r="E17" s="23">
        <v>2.7149999999999999</v>
      </c>
      <c r="F17" s="23">
        <v>3.1</v>
      </c>
      <c r="G17" s="22">
        <v>12.828374999999998</v>
      </c>
      <c r="H17" s="24">
        <f t="shared" si="0"/>
        <v>0.55620772632674287</v>
      </c>
      <c r="I17" s="25">
        <v>0.32</v>
      </c>
      <c r="J17" s="26">
        <v>300</v>
      </c>
      <c r="K17" s="27">
        <v>0.8</v>
      </c>
      <c r="L17" s="22">
        <f t="shared" si="1"/>
        <v>0.25600000000000001</v>
      </c>
      <c r="M17" s="65" t="s">
        <v>98</v>
      </c>
      <c r="N17" s="66" t="s">
        <v>103</v>
      </c>
      <c r="O17" s="28">
        <v>6500</v>
      </c>
      <c r="P17" s="22">
        <f t="shared" si="2"/>
        <v>2.3128079927884611</v>
      </c>
      <c r="Q17" s="29">
        <v>3</v>
      </c>
      <c r="R17" s="22">
        <v>1.25</v>
      </c>
      <c r="S17" s="22">
        <f t="shared" si="3"/>
        <v>3.875</v>
      </c>
      <c r="T17" s="22">
        <f t="shared" si="4"/>
        <v>1.9375</v>
      </c>
    </row>
    <row r="18" spans="2:20" x14ac:dyDescent="0.25">
      <c r="B18" s="22">
        <v>15</v>
      </c>
      <c r="C18" s="22" t="s">
        <v>168</v>
      </c>
      <c r="D18" s="23">
        <v>4.7249999999999996</v>
      </c>
      <c r="E18" s="23">
        <v>3.085</v>
      </c>
      <c r="F18" s="23">
        <v>3.1</v>
      </c>
      <c r="G18" s="22">
        <v>14.576624999999998</v>
      </c>
      <c r="H18" s="24">
        <f t="shared" si="0"/>
        <v>0.60206620957416046</v>
      </c>
      <c r="I18" s="25">
        <v>0.32</v>
      </c>
      <c r="J18" s="26">
        <v>300</v>
      </c>
      <c r="K18" s="27">
        <v>0.8</v>
      </c>
      <c r="L18" s="22">
        <f t="shared" si="1"/>
        <v>0.25600000000000001</v>
      </c>
      <c r="M18" s="65" t="s">
        <v>98</v>
      </c>
      <c r="N18" s="66" t="s">
        <v>103</v>
      </c>
      <c r="O18" s="28">
        <v>6500</v>
      </c>
      <c r="P18" s="22">
        <f t="shared" si="2"/>
        <v>2.6279972956730764</v>
      </c>
      <c r="Q18" s="29">
        <v>3</v>
      </c>
      <c r="R18" s="22">
        <v>1.25</v>
      </c>
      <c r="S18" s="22">
        <f t="shared" si="3"/>
        <v>3.875</v>
      </c>
      <c r="T18" s="22">
        <f t="shared" si="4"/>
        <v>1.9375</v>
      </c>
    </row>
    <row r="19" spans="2:20" x14ac:dyDescent="0.25">
      <c r="B19" s="22">
        <v>16</v>
      </c>
      <c r="C19" s="22" t="s">
        <v>169</v>
      </c>
      <c r="D19" s="23">
        <v>4</v>
      </c>
      <c r="E19" s="23">
        <v>3.48</v>
      </c>
      <c r="F19" s="23">
        <v>3.1</v>
      </c>
      <c r="G19" s="22">
        <v>13.92</v>
      </c>
      <c r="H19" s="24">
        <f t="shared" si="0"/>
        <v>0.60031050543384501</v>
      </c>
      <c r="I19" s="25">
        <v>0.32</v>
      </c>
      <c r="J19" s="26">
        <v>300</v>
      </c>
      <c r="K19" s="27">
        <v>0.8</v>
      </c>
      <c r="L19" s="22">
        <f t="shared" si="1"/>
        <v>0.25600000000000001</v>
      </c>
      <c r="M19" s="65" t="s">
        <v>98</v>
      </c>
      <c r="N19" s="66" t="s">
        <v>103</v>
      </c>
      <c r="O19" s="28">
        <v>6500</v>
      </c>
      <c r="P19" s="22">
        <f t="shared" si="2"/>
        <v>2.5096153846153846</v>
      </c>
      <c r="Q19" s="29">
        <v>3</v>
      </c>
      <c r="R19" s="22">
        <v>1.25</v>
      </c>
      <c r="S19" s="22">
        <f t="shared" si="3"/>
        <v>3.875</v>
      </c>
      <c r="T19" s="22">
        <f t="shared" si="4"/>
        <v>1.9375</v>
      </c>
    </row>
    <row r="20" spans="2:20" x14ac:dyDescent="0.25">
      <c r="B20" s="22">
        <v>17</v>
      </c>
      <c r="C20" s="22" t="s">
        <v>170</v>
      </c>
      <c r="D20" s="23">
        <v>4</v>
      </c>
      <c r="E20" s="23">
        <v>3.48</v>
      </c>
      <c r="F20" s="23">
        <v>3.1</v>
      </c>
      <c r="G20" s="22">
        <v>13.92</v>
      </c>
      <c r="H20" s="24">
        <f t="shared" si="0"/>
        <v>0.60031050543384501</v>
      </c>
      <c r="I20" s="25">
        <v>0.32</v>
      </c>
      <c r="J20" s="26">
        <v>300</v>
      </c>
      <c r="K20" s="27">
        <v>0.8</v>
      </c>
      <c r="L20" s="22">
        <f t="shared" si="1"/>
        <v>0.25600000000000001</v>
      </c>
      <c r="M20" s="65" t="s">
        <v>98</v>
      </c>
      <c r="N20" s="66" t="s">
        <v>103</v>
      </c>
      <c r="O20" s="28">
        <v>6500</v>
      </c>
      <c r="P20" s="22">
        <f t="shared" si="2"/>
        <v>2.5096153846153846</v>
      </c>
      <c r="Q20" s="29">
        <v>3</v>
      </c>
      <c r="R20" s="22">
        <v>1.25</v>
      </c>
      <c r="S20" s="22">
        <f t="shared" si="3"/>
        <v>3.875</v>
      </c>
      <c r="T20" s="22">
        <f t="shared" si="4"/>
        <v>1.9375</v>
      </c>
    </row>
    <row r="21" spans="2:20" x14ac:dyDescent="0.25">
      <c r="B21" s="22">
        <v>18</v>
      </c>
      <c r="C21" s="22" t="s">
        <v>171</v>
      </c>
      <c r="D21" s="23">
        <v>9.48</v>
      </c>
      <c r="E21" s="23">
        <v>7.96</v>
      </c>
      <c r="F21" s="23">
        <v>3.1</v>
      </c>
      <c r="G21" s="22">
        <v>75.460800000000006</v>
      </c>
      <c r="H21" s="24">
        <f t="shared" si="0"/>
        <v>1.3957679786919206</v>
      </c>
      <c r="I21" s="25">
        <v>0.46</v>
      </c>
      <c r="J21" s="26">
        <v>300</v>
      </c>
      <c r="K21" s="27">
        <v>0.8</v>
      </c>
      <c r="L21" s="22">
        <f t="shared" si="1"/>
        <v>0.36800000000000005</v>
      </c>
      <c r="M21" s="65" t="s">
        <v>98</v>
      </c>
      <c r="N21" s="66" t="s">
        <v>103</v>
      </c>
      <c r="O21" s="28">
        <v>6500</v>
      </c>
      <c r="P21" s="22">
        <f t="shared" si="2"/>
        <v>9.4641471571906344</v>
      </c>
      <c r="Q21" s="29">
        <v>16</v>
      </c>
      <c r="R21" s="22">
        <v>1.25</v>
      </c>
      <c r="S21" s="22">
        <f t="shared" si="3"/>
        <v>3.875</v>
      </c>
      <c r="T21" s="22">
        <f t="shared" si="4"/>
        <v>1.9375</v>
      </c>
    </row>
    <row r="22" spans="2:20" x14ac:dyDescent="0.25">
      <c r="B22" s="22">
        <v>19</v>
      </c>
      <c r="C22" s="22" t="s">
        <v>172</v>
      </c>
      <c r="D22" s="23">
        <v>18.5</v>
      </c>
      <c r="E22" s="23">
        <v>3.96</v>
      </c>
      <c r="F22" s="23">
        <v>3.8</v>
      </c>
      <c r="G22" s="22">
        <v>73.260000000000005</v>
      </c>
      <c r="H22" s="24">
        <f t="shared" si="0"/>
        <v>0.85836809298401839</v>
      </c>
      <c r="I22" s="25">
        <v>0.4</v>
      </c>
      <c r="J22" s="26">
        <v>100</v>
      </c>
      <c r="K22" s="27">
        <v>0.8</v>
      </c>
      <c r="L22" s="22">
        <f t="shared" si="1"/>
        <v>0.32000000000000006</v>
      </c>
      <c r="M22" s="65" t="s">
        <v>101</v>
      </c>
      <c r="N22" s="67" t="s">
        <v>104</v>
      </c>
      <c r="O22" s="28">
        <v>3250</v>
      </c>
      <c r="P22" s="22">
        <f t="shared" si="2"/>
        <v>7.0442307692307686</v>
      </c>
      <c r="Q22" s="29">
        <v>9</v>
      </c>
      <c r="R22" s="22">
        <v>1.25</v>
      </c>
      <c r="S22" s="22">
        <f t="shared" si="3"/>
        <v>4.75</v>
      </c>
      <c r="T22" s="22">
        <f t="shared" si="4"/>
        <v>2.375</v>
      </c>
    </row>
  </sheetData>
  <mergeCells count="8">
    <mergeCell ref="S2:S3"/>
    <mergeCell ref="T2:T3"/>
    <mergeCell ref="C2:C3"/>
    <mergeCell ref="B2:B3"/>
    <mergeCell ref="N2:N3"/>
    <mergeCell ref="M2:M3"/>
    <mergeCell ref="D1:P1"/>
    <mergeCell ref="R2:R3"/>
  </mergeCells>
  <phoneticPr fontId="6" type="noConversion"/>
  <hyperlinks>
    <hyperlink ref="P2" r:id="rId1" xr:uid="{CBFF6B2F-B463-407B-BCC2-80FD6929D9D9}"/>
    <hyperlink ref="H2" r:id="rId2" xr:uid="{8FD84061-BE44-44CB-9E09-4DDC34095FB9}"/>
    <hyperlink ref="O3" r:id="rId3" xr:uid="{439A9A7F-3D1E-46D6-AADC-5816B6E1BF73}"/>
    <hyperlink ref="M2" r:id="rId4" xr:uid="{A4A60E4E-9F25-4F47-A138-83F0989F5BFB}"/>
    <hyperlink ref="F2" r:id="rId5" xr:uid="{5154402F-945E-4EDF-98F9-964A22D75FAD}"/>
    <hyperlink ref="J2" r:id="rId6" xr:uid="{A7D976E6-A843-4313-A2FE-B19C84A65AE2}"/>
  </hyperlinks>
  <pageMargins left="0.7" right="0.7" top="0.75" bottom="0.75" header="0.3" footer="0.3"/>
  <pageSetup paperSize="58" orientation="landscape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13B3-3E52-4AD0-945B-4D9B9C25D796}">
  <dimension ref="B1:W51"/>
  <sheetViews>
    <sheetView zoomScale="70" zoomScaleNormal="70" workbookViewId="0">
      <selection activeCell="B2" sqref="B2:T51"/>
    </sheetView>
  </sheetViews>
  <sheetFormatPr defaultRowHeight="15" x14ac:dyDescent="0.25"/>
  <cols>
    <col min="2" max="2" width="4.85546875" bestFit="1" customWidth="1"/>
    <col min="3" max="3" width="35" bestFit="1" customWidth="1"/>
    <col min="4" max="4" width="8.7109375" bestFit="1" customWidth="1"/>
    <col min="5" max="5" width="7.7109375" bestFit="1" customWidth="1"/>
    <col min="6" max="6" width="19.140625" bestFit="1" customWidth="1"/>
    <col min="7" max="7" width="13.5703125" bestFit="1" customWidth="1"/>
    <col min="8" max="8" width="14" bestFit="1" customWidth="1"/>
    <col min="9" max="9" width="6.7109375" bestFit="1" customWidth="1"/>
    <col min="10" max="10" width="18.28515625" bestFit="1" customWidth="1"/>
    <col min="11" max="11" width="5.42578125" bestFit="1" customWidth="1"/>
    <col min="12" max="12" width="14.5703125" bestFit="1" customWidth="1"/>
    <col min="13" max="13" width="13.42578125" bestFit="1" customWidth="1"/>
    <col min="14" max="14" width="26.85546875" bestFit="1" customWidth="1"/>
    <col min="15" max="15" width="17.85546875" bestFit="1" customWidth="1"/>
    <col min="16" max="16" width="15.28515625" bestFit="1" customWidth="1"/>
    <col min="17" max="17" width="17.28515625" bestFit="1" customWidth="1"/>
    <col min="18" max="18" width="12.85546875" bestFit="1" customWidth="1"/>
    <col min="19" max="19" width="9.5703125" bestFit="1" customWidth="1"/>
    <col min="20" max="20" width="9.140625" bestFit="1" customWidth="1"/>
  </cols>
  <sheetData>
    <row r="1" spans="2:23" x14ac:dyDescent="0.25">
      <c r="D1" s="69" t="s">
        <v>0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2:23" x14ac:dyDescent="0.25">
      <c r="B2" s="72" t="s">
        <v>1</v>
      </c>
      <c r="C2" s="72" t="s">
        <v>118</v>
      </c>
      <c r="D2" s="30" t="s">
        <v>2</v>
      </c>
      <c r="E2" s="30" t="s">
        <v>3</v>
      </c>
      <c r="F2" s="31" t="s">
        <v>4</v>
      </c>
      <c r="G2" s="30" t="s">
        <v>5</v>
      </c>
      <c r="H2" s="31" t="s">
        <v>6</v>
      </c>
      <c r="I2" s="72" t="s">
        <v>7</v>
      </c>
      <c r="J2" s="31" t="s">
        <v>8</v>
      </c>
      <c r="K2" s="72" t="s">
        <v>9</v>
      </c>
      <c r="L2" s="30" t="s">
        <v>10</v>
      </c>
      <c r="M2" s="79" t="s">
        <v>11</v>
      </c>
      <c r="N2" s="72" t="s">
        <v>12</v>
      </c>
      <c r="O2" s="30" t="s">
        <v>13</v>
      </c>
      <c r="P2" s="31" t="s">
        <v>14</v>
      </c>
      <c r="Q2" s="30" t="s">
        <v>15</v>
      </c>
      <c r="R2" s="72" t="s">
        <v>223</v>
      </c>
      <c r="S2" s="72" t="s">
        <v>107</v>
      </c>
      <c r="T2" s="72" t="s">
        <v>115</v>
      </c>
    </row>
    <row r="3" spans="2:23" x14ac:dyDescent="0.25">
      <c r="B3" s="73"/>
      <c r="C3" s="73"/>
      <c r="D3" s="30" t="s">
        <v>16</v>
      </c>
      <c r="E3" s="30" t="s">
        <v>17</v>
      </c>
      <c r="F3" s="30" t="s">
        <v>18</v>
      </c>
      <c r="G3" s="30" t="s">
        <v>19</v>
      </c>
      <c r="H3" s="30" t="s">
        <v>20</v>
      </c>
      <c r="I3" s="73"/>
      <c r="J3" s="30" t="s">
        <v>21</v>
      </c>
      <c r="K3" s="73"/>
      <c r="L3" s="30" t="s">
        <v>22</v>
      </c>
      <c r="M3" s="80"/>
      <c r="N3" s="73"/>
      <c r="O3" s="31" t="s">
        <v>121</v>
      </c>
      <c r="P3" s="30" t="s">
        <v>23</v>
      </c>
      <c r="Q3" s="30" t="s">
        <v>24</v>
      </c>
      <c r="R3" s="73"/>
      <c r="S3" s="73"/>
      <c r="T3" s="73"/>
    </row>
    <row r="4" spans="2:23" x14ac:dyDescent="0.25">
      <c r="B4" s="16">
        <v>1</v>
      </c>
      <c r="C4" s="35" t="s">
        <v>173</v>
      </c>
      <c r="D4" s="17">
        <v>3.8</v>
      </c>
      <c r="E4" s="17">
        <v>2.9</v>
      </c>
      <c r="F4" s="17">
        <v>3.1</v>
      </c>
      <c r="G4" s="16">
        <f>D4*E4</f>
        <v>11.02</v>
      </c>
      <c r="H4" s="36">
        <f>G4/(F4*(D4+E4))</f>
        <v>0.53057294174289837</v>
      </c>
      <c r="I4" s="37">
        <v>0.32</v>
      </c>
      <c r="J4" s="38">
        <v>300</v>
      </c>
      <c r="K4" s="39">
        <v>0.8</v>
      </c>
      <c r="L4" s="16">
        <f>I4*K4</f>
        <v>0.25600000000000001</v>
      </c>
      <c r="M4" s="16" t="s">
        <v>98</v>
      </c>
      <c r="N4" s="16" t="s">
        <v>174</v>
      </c>
      <c r="O4" s="40">
        <v>6500</v>
      </c>
      <c r="P4" s="16">
        <f>(J4*G4)/(L4*O4)</f>
        <v>1.9867788461538463</v>
      </c>
      <c r="Q4" s="41">
        <v>2</v>
      </c>
      <c r="R4" s="16">
        <v>1.25</v>
      </c>
      <c r="S4" s="16">
        <f>R4*F4</f>
        <v>3.875</v>
      </c>
      <c r="T4" s="16">
        <f>S4/2</f>
        <v>1.9375</v>
      </c>
    </row>
    <row r="5" spans="2:23" x14ac:dyDescent="0.25">
      <c r="B5" s="16">
        <v>2</v>
      </c>
      <c r="C5" s="42" t="s">
        <v>175</v>
      </c>
      <c r="D5" s="17">
        <v>6.05</v>
      </c>
      <c r="E5" s="17">
        <v>4.3</v>
      </c>
      <c r="F5" s="17">
        <v>3.1</v>
      </c>
      <c r="G5" s="16">
        <f t="shared" ref="G5:G51" si="0">D5*E5</f>
        <v>26.014999999999997</v>
      </c>
      <c r="H5" s="36">
        <f t="shared" ref="H5:H51" si="1">G5/(F5*(D5+E5))</f>
        <v>0.81081502259622862</v>
      </c>
      <c r="I5" s="37">
        <v>0.38</v>
      </c>
      <c r="J5" s="38">
        <v>300</v>
      </c>
      <c r="K5" s="39">
        <v>0.8</v>
      </c>
      <c r="L5" s="16">
        <f t="shared" ref="L5:L51" si="2">I5*K5</f>
        <v>0.30400000000000005</v>
      </c>
      <c r="M5" s="16" t="s">
        <v>98</v>
      </c>
      <c r="N5" s="16" t="s">
        <v>174</v>
      </c>
      <c r="O5" s="40">
        <v>6500</v>
      </c>
      <c r="P5" s="16">
        <f t="shared" ref="P5:P51" si="3">(J5*G5)/(L5*O5)</f>
        <v>3.9496457489878534</v>
      </c>
      <c r="Q5" s="41">
        <v>4</v>
      </c>
      <c r="R5" s="16">
        <v>1.25</v>
      </c>
      <c r="S5" s="16">
        <f>R5*F5</f>
        <v>3.875</v>
      </c>
      <c r="T5" s="16">
        <f t="shared" ref="T5:T51" si="4">S5/2</f>
        <v>1.9375</v>
      </c>
    </row>
    <row r="6" spans="2:23" x14ac:dyDescent="0.25">
      <c r="B6" s="16">
        <v>3</v>
      </c>
      <c r="C6" s="35" t="s">
        <v>176</v>
      </c>
      <c r="D6" s="17">
        <v>4.5</v>
      </c>
      <c r="E6" s="17">
        <v>3.4</v>
      </c>
      <c r="F6" s="17">
        <v>3.1</v>
      </c>
      <c r="G6" s="16">
        <f t="shared" si="0"/>
        <v>15.299999999999999</v>
      </c>
      <c r="H6" s="36">
        <f t="shared" si="1"/>
        <v>0.62474479379338499</v>
      </c>
      <c r="I6" s="37">
        <v>0.32</v>
      </c>
      <c r="J6" s="38">
        <v>300</v>
      </c>
      <c r="K6" s="39">
        <v>0.8</v>
      </c>
      <c r="L6" s="16">
        <f t="shared" si="2"/>
        <v>0.25600000000000001</v>
      </c>
      <c r="M6" s="16" t="s">
        <v>98</v>
      </c>
      <c r="N6" s="16" t="s">
        <v>174</v>
      </c>
      <c r="O6" s="40">
        <v>6500</v>
      </c>
      <c r="P6" s="16">
        <f t="shared" si="3"/>
        <v>2.7584134615384617</v>
      </c>
      <c r="Q6" s="41">
        <v>3</v>
      </c>
      <c r="R6" s="16">
        <v>1.25</v>
      </c>
      <c r="S6" s="16">
        <f>R6*F6</f>
        <v>3.875</v>
      </c>
      <c r="T6" s="16">
        <f t="shared" si="4"/>
        <v>1.9375</v>
      </c>
    </row>
    <row r="7" spans="2:23" x14ac:dyDescent="0.25">
      <c r="B7" s="16">
        <v>4</v>
      </c>
      <c r="C7" s="42" t="s">
        <v>177</v>
      </c>
      <c r="D7" s="17">
        <v>4.5</v>
      </c>
      <c r="E7" s="17">
        <v>2.5</v>
      </c>
      <c r="F7" s="17">
        <v>3.1</v>
      </c>
      <c r="G7" s="16">
        <f t="shared" si="0"/>
        <v>11.25</v>
      </c>
      <c r="H7" s="36">
        <f t="shared" si="1"/>
        <v>0.51843317972350234</v>
      </c>
      <c r="I7" s="37">
        <v>0.32</v>
      </c>
      <c r="J7" s="38">
        <v>300</v>
      </c>
      <c r="K7" s="39">
        <v>0.8</v>
      </c>
      <c r="L7" s="16">
        <f t="shared" si="2"/>
        <v>0.25600000000000001</v>
      </c>
      <c r="M7" s="16" t="s">
        <v>98</v>
      </c>
      <c r="N7" s="16" t="s">
        <v>174</v>
      </c>
      <c r="O7" s="40">
        <v>6500</v>
      </c>
      <c r="P7" s="16">
        <f t="shared" si="3"/>
        <v>2.0282451923076925</v>
      </c>
      <c r="Q7" s="41">
        <v>3</v>
      </c>
      <c r="R7" s="16">
        <v>1.25</v>
      </c>
      <c r="S7" s="16">
        <f t="shared" ref="S7:S51" si="5">R7*F7</f>
        <v>3.875</v>
      </c>
      <c r="T7" s="16">
        <f t="shared" si="4"/>
        <v>1.9375</v>
      </c>
    </row>
    <row r="8" spans="2:23" x14ac:dyDescent="0.25">
      <c r="B8" s="16">
        <v>5</v>
      </c>
      <c r="C8" s="35" t="s">
        <v>178</v>
      </c>
      <c r="D8" s="17">
        <v>4.5</v>
      </c>
      <c r="E8" s="17">
        <v>3.02</v>
      </c>
      <c r="F8" s="17">
        <v>3.1</v>
      </c>
      <c r="G8" s="16">
        <f t="shared" si="0"/>
        <v>13.59</v>
      </c>
      <c r="H8" s="36">
        <f t="shared" si="1"/>
        <v>0.58296156485929995</v>
      </c>
      <c r="I8" s="37">
        <v>0.32</v>
      </c>
      <c r="J8" s="38">
        <v>300</v>
      </c>
      <c r="K8" s="39">
        <v>0.8</v>
      </c>
      <c r="L8" s="16">
        <f t="shared" si="2"/>
        <v>0.25600000000000001</v>
      </c>
      <c r="M8" s="16" t="s">
        <v>98</v>
      </c>
      <c r="N8" s="16" t="s">
        <v>174</v>
      </c>
      <c r="O8" s="40">
        <v>6500</v>
      </c>
      <c r="P8" s="16">
        <f t="shared" si="3"/>
        <v>2.4501201923076925</v>
      </c>
      <c r="Q8" s="41">
        <v>3</v>
      </c>
      <c r="R8" s="16">
        <v>1.25</v>
      </c>
      <c r="S8" s="16">
        <f t="shared" si="5"/>
        <v>3.875</v>
      </c>
      <c r="T8" s="16">
        <f t="shared" si="4"/>
        <v>1.9375</v>
      </c>
    </row>
    <row r="9" spans="2:23" x14ac:dyDescent="0.25">
      <c r="B9" s="16">
        <v>6</v>
      </c>
      <c r="C9" s="42" t="s">
        <v>179</v>
      </c>
      <c r="D9" s="17">
        <v>4.5</v>
      </c>
      <c r="E9" s="17">
        <v>3</v>
      </c>
      <c r="F9" s="17">
        <v>3.1</v>
      </c>
      <c r="G9" s="16">
        <f t="shared" si="0"/>
        <v>13.5</v>
      </c>
      <c r="H9" s="36">
        <f t="shared" si="1"/>
        <v>0.58064516129032262</v>
      </c>
      <c r="I9" s="37">
        <v>0.32</v>
      </c>
      <c r="J9" s="38">
        <v>300</v>
      </c>
      <c r="K9" s="39">
        <v>0.8</v>
      </c>
      <c r="L9" s="16">
        <f t="shared" si="2"/>
        <v>0.25600000000000001</v>
      </c>
      <c r="M9" s="16" t="s">
        <v>98</v>
      </c>
      <c r="N9" s="16" t="s">
        <v>174</v>
      </c>
      <c r="O9" s="40">
        <v>6500</v>
      </c>
      <c r="P9" s="16">
        <f t="shared" si="3"/>
        <v>2.4338942307692308</v>
      </c>
      <c r="Q9" s="41">
        <v>3</v>
      </c>
      <c r="R9" s="16">
        <v>1.25</v>
      </c>
      <c r="S9" s="16">
        <f t="shared" si="5"/>
        <v>3.875</v>
      </c>
      <c r="T9" s="16">
        <f t="shared" si="4"/>
        <v>1.9375</v>
      </c>
    </row>
    <row r="10" spans="2:23" x14ac:dyDescent="0.25">
      <c r="B10" s="16">
        <v>7</v>
      </c>
      <c r="C10" s="35" t="s">
        <v>180</v>
      </c>
      <c r="D10" s="17">
        <v>4.5</v>
      </c>
      <c r="E10" s="17">
        <v>3.3</v>
      </c>
      <c r="F10" s="17">
        <v>3.1</v>
      </c>
      <c r="G10" s="16">
        <f t="shared" si="0"/>
        <v>14.85</v>
      </c>
      <c r="H10" s="36">
        <f t="shared" si="1"/>
        <v>0.61414392059553347</v>
      </c>
      <c r="I10" s="37">
        <v>0.32</v>
      </c>
      <c r="J10" s="38">
        <v>300</v>
      </c>
      <c r="K10" s="39">
        <v>0.8</v>
      </c>
      <c r="L10" s="16">
        <f t="shared" si="2"/>
        <v>0.25600000000000001</v>
      </c>
      <c r="M10" s="16" t="s">
        <v>98</v>
      </c>
      <c r="N10" s="16" t="s">
        <v>174</v>
      </c>
      <c r="O10" s="40">
        <v>6500</v>
      </c>
      <c r="P10" s="16">
        <f t="shared" si="3"/>
        <v>2.6772836538461537</v>
      </c>
      <c r="Q10" s="41">
        <v>3</v>
      </c>
      <c r="R10" s="16">
        <v>1.25</v>
      </c>
      <c r="S10" s="16">
        <f t="shared" si="5"/>
        <v>3.875</v>
      </c>
      <c r="T10" s="16">
        <f t="shared" si="4"/>
        <v>1.9375</v>
      </c>
    </row>
    <row r="11" spans="2:23" x14ac:dyDescent="0.25">
      <c r="B11" s="16">
        <v>8</v>
      </c>
      <c r="C11" s="42" t="s">
        <v>181</v>
      </c>
      <c r="D11" s="17">
        <v>4.5</v>
      </c>
      <c r="E11" s="17">
        <v>3.02</v>
      </c>
      <c r="F11" s="17">
        <v>3.1</v>
      </c>
      <c r="G11" s="16">
        <f t="shared" si="0"/>
        <v>13.59</v>
      </c>
      <c r="H11" s="36">
        <f t="shared" si="1"/>
        <v>0.58296156485929995</v>
      </c>
      <c r="I11" s="37">
        <v>0.32</v>
      </c>
      <c r="J11" s="38">
        <v>300</v>
      </c>
      <c r="K11" s="39">
        <v>0.8</v>
      </c>
      <c r="L11" s="16">
        <f t="shared" si="2"/>
        <v>0.25600000000000001</v>
      </c>
      <c r="M11" s="16" t="s">
        <v>98</v>
      </c>
      <c r="N11" s="16" t="s">
        <v>174</v>
      </c>
      <c r="O11" s="40">
        <v>6500</v>
      </c>
      <c r="P11" s="16">
        <f t="shared" si="3"/>
        <v>2.4501201923076925</v>
      </c>
      <c r="Q11" s="41">
        <v>3</v>
      </c>
      <c r="R11" s="16">
        <v>1.25</v>
      </c>
      <c r="S11" s="16">
        <f t="shared" si="5"/>
        <v>3.875</v>
      </c>
      <c r="T11" s="16">
        <f t="shared" si="4"/>
        <v>1.9375</v>
      </c>
    </row>
    <row r="12" spans="2:23" x14ac:dyDescent="0.25">
      <c r="B12" s="16">
        <v>9</v>
      </c>
      <c r="C12" s="35" t="s">
        <v>182</v>
      </c>
      <c r="D12" s="17">
        <v>4.5</v>
      </c>
      <c r="E12" s="17">
        <v>3</v>
      </c>
      <c r="F12" s="17">
        <v>3.1</v>
      </c>
      <c r="G12" s="16">
        <f t="shared" si="0"/>
        <v>13.5</v>
      </c>
      <c r="H12" s="36">
        <f t="shared" si="1"/>
        <v>0.58064516129032262</v>
      </c>
      <c r="I12" s="37">
        <v>0.32</v>
      </c>
      <c r="J12" s="38">
        <v>300</v>
      </c>
      <c r="K12" s="39">
        <v>0.8</v>
      </c>
      <c r="L12" s="16">
        <f t="shared" si="2"/>
        <v>0.25600000000000001</v>
      </c>
      <c r="M12" s="16" t="s">
        <v>98</v>
      </c>
      <c r="N12" s="16" t="s">
        <v>174</v>
      </c>
      <c r="O12" s="40">
        <v>6500</v>
      </c>
      <c r="P12" s="16">
        <f t="shared" si="3"/>
        <v>2.4338942307692308</v>
      </c>
      <c r="Q12" s="41">
        <v>3</v>
      </c>
      <c r="R12" s="16">
        <v>1.25</v>
      </c>
      <c r="S12" s="16">
        <f t="shared" si="5"/>
        <v>3.875</v>
      </c>
      <c r="T12" s="16">
        <f t="shared" si="4"/>
        <v>1.9375</v>
      </c>
    </row>
    <row r="13" spans="2:23" x14ac:dyDescent="0.25">
      <c r="B13" s="16">
        <v>10</v>
      </c>
      <c r="C13" s="16" t="s">
        <v>183</v>
      </c>
      <c r="D13" s="17">
        <v>4.5</v>
      </c>
      <c r="E13" s="17">
        <v>4.5</v>
      </c>
      <c r="F13" s="17">
        <v>3.1</v>
      </c>
      <c r="G13" s="16">
        <f t="shared" si="0"/>
        <v>20.25</v>
      </c>
      <c r="H13" s="36">
        <f t="shared" si="1"/>
        <v>0.72580645161290314</v>
      </c>
      <c r="I13" s="37">
        <v>0.32</v>
      </c>
      <c r="J13" s="38">
        <v>300</v>
      </c>
      <c r="K13" s="39">
        <v>0.8</v>
      </c>
      <c r="L13" s="16">
        <f t="shared" si="2"/>
        <v>0.25600000000000001</v>
      </c>
      <c r="M13" s="16" t="s">
        <v>98</v>
      </c>
      <c r="N13" s="16" t="s">
        <v>174</v>
      </c>
      <c r="O13" s="40">
        <v>6500</v>
      </c>
      <c r="P13" s="16">
        <f t="shared" si="3"/>
        <v>3.6508413461538463</v>
      </c>
      <c r="Q13" s="41">
        <v>4</v>
      </c>
      <c r="R13" s="16">
        <v>1.25</v>
      </c>
      <c r="S13" s="16">
        <f t="shared" si="5"/>
        <v>3.875</v>
      </c>
      <c r="T13" s="16">
        <f t="shared" si="4"/>
        <v>1.9375</v>
      </c>
    </row>
    <row r="14" spans="2:23" x14ac:dyDescent="0.25">
      <c r="B14" s="16">
        <v>11</v>
      </c>
      <c r="C14" s="16" t="s">
        <v>108</v>
      </c>
      <c r="D14" s="17">
        <v>4.5</v>
      </c>
      <c r="E14" s="17">
        <v>4.5</v>
      </c>
      <c r="F14" s="17">
        <v>3.1</v>
      </c>
      <c r="G14" s="16">
        <f t="shared" si="0"/>
        <v>20.25</v>
      </c>
      <c r="H14" s="36">
        <f t="shared" si="1"/>
        <v>0.72580645161290314</v>
      </c>
      <c r="I14" s="37">
        <v>0.32</v>
      </c>
      <c r="J14" s="38">
        <v>300</v>
      </c>
      <c r="K14" s="39">
        <v>0.8</v>
      </c>
      <c r="L14" s="16">
        <f t="shared" si="2"/>
        <v>0.25600000000000001</v>
      </c>
      <c r="M14" s="16" t="s">
        <v>98</v>
      </c>
      <c r="N14" s="16" t="s">
        <v>174</v>
      </c>
      <c r="O14" s="40">
        <v>6500</v>
      </c>
      <c r="P14" s="16">
        <f t="shared" si="3"/>
        <v>3.6508413461538463</v>
      </c>
      <c r="Q14" s="41">
        <v>4</v>
      </c>
      <c r="R14" s="16">
        <v>1.25</v>
      </c>
      <c r="S14" s="16">
        <f t="shared" si="5"/>
        <v>3.875</v>
      </c>
      <c r="T14" s="16">
        <f t="shared" si="4"/>
        <v>1.9375</v>
      </c>
      <c r="V14">
        <f>SUMIFS(Q4:Q51,N4:N51,N19)</f>
        <v>94</v>
      </c>
      <c r="W14" t="s">
        <v>184</v>
      </c>
    </row>
    <row r="15" spans="2:23" x14ac:dyDescent="0.25">
      <c r="B15" s="16">
        <v>12</v>
      </c>
      <c r="C15" s="16" t="s">
        <v>185</v>
      </c>
      <c r="D15" s="17">
        <v>22.5</v>
      </c>
      <c r="E15" s="17">
        <v>1.6</v>
      </c>
      <c r="F15" s="17">
        <v>2.6</v>
      </c>
      <c r="G15" s="16">
        <f t="shared" si="0"/>
        <v>36</v>
      </c>
      <c r="H15" s="36">
        <f t="shared" si="1"/>
        <v>0.57452920523459938</v>
      </c>
      <c r="I15" s="37">
        <v>0.34</v>
      </c>
      <c r="J15" s="38">
        <v>100</v>
      </c>
      <c r="K15" s="39">
        <v>0.8</v>
      </c>
      <c r="L15" s="16">
        <f t="shared" si="2"/>
        <v>0.27200000000000002</v>
      </c>
      <c r="M15" s="16" t="s">
        <v>101</v>
      </c>
      <c r="N15" s="16" t="s">
        <v>186</v>
      </c>
      <c r="O15" s="40">
        <v>3250</v>
      </c>
      <c r="P15" s="16">
        <f t="shared" si="3"/>
        <v>4.0723981900452486</v>
      </c>
      <c r="Q15" s="41">
        <v>8</v>
      </c>
      <c r="R15" s="16">
        <v>1.25</v>
      </c>
      <c r="S15" s="16">
        <f t="shared" si="5"/>
        <v>3.25</v>
      </c>
      <c r="T15" s="16">
        <f t="shared" si="4"/>
        <v>1.625</v>
      </c>
    </row>
    <row r="16" spans="2:23" x14ac:dyDescent="0.25">
      <c r="B16" s="16">
        <v>13</v>
      </c>
      <c r="C16" s="16" t="s">
        <v>187</v>
      </c>
      <c r="D16" s="17">
        <v>2.9</v>
      </c>
      <c r="E16" s="17">
        <v>2.4</v>
      </c>
      <c r="F16" s="17">
        <v>2.6</v>
      </c>
      <c r="G16" s="16">
        <f t="shared" si="0"/>
        <v>6.96</v>
      </c>
      <c r="H16" s="36">
        <f t="shared" si="1"/>
        <v>0.50507982583454281</v>
      </c>
      <c r="I16" s="37">
        <v>0.34</v>
      </c>
      <c r="J16" s="38">
        <v>100</v>
      </c>
      <c r="K16" s="39">
        <v>0.8</v>
      </c>
      <c r="L16" s="16">
        <f t="shared" si="2"/>
        <v>0.27200000000000002</v>
      </c>
      <c r="M16" s="16" t="s">
        <v>101</v>
      </c>
      <c r="N16" s="16" t="s">
        <v>186</v>
      </c>
      <c r="O16" s="40">
        <v>3250</v>
      </c>
      <c r="P16" s="16">
        <f t="shared" si="3"/>
        <v>0.78733031674208132</v>
      </c>
      <c r="Q16" s="41">
        <v>1</v>
      </c>
      <c r="R16" s="16">
        <v>1.25</v>
      </c>
      <c r="S16" s="16">
        <f t="shared" si="5"/>
        <v>3.25</v>
      </c>
      <c r="T16" s="16">
        <f t="shared" si="4"/>
        <v>1.625</v>
      </c>
      <c r="V16">
        <f>SUMIFS(Q4:Q51,N4:N51,N13)</f>
        <v>103</v>
      </c>
      <c r="W16" t="s">
        <v>188</v>
      </c>
    </row>
    <row r="17" spans="2:20" x14ac:dyDescent="0.25">
      <c r="B17" s="16">
        <v>14</v>
      </c>
      <c r="C17" s="16" t="s">
        <v>189</v>
      </c>
      <c r="D17" s="17">
        <v>4.5</v>
      </c>
      <c r="E17" s="17">
        <v>2.5</v>
      </c>
      <c r="F17" s="17">
        <v>2.6</v>
      </c>
      <c r="G17" s="16">
        <f t="shared" si="0"/>
        <v>11.25</v>
      </c>
      <c r="H17" s="36">
        <f t="shared" si="1"/>
        <v>0.61813186813186816</v>
      </c>
      <c r="I17" s="37">
        <v>0.34</v>
      </c>
      <c r="J17" s="38">
        <v>100</v>
      </c>
      <c r="K17" s="39">
        <v>0.8</v>
      </c>
      <c r="L17" s="16">
        <f t="shared" si="2"/>
        <v>0.27200000000000002</v>
      </c>
      <c r="M17" s="16" t="s">
        <v>101</v>
      </c>
      <c r="N17" s="16" t="s">
        <v>186</v>
      </c>
      <c r="O17" s="40">
        <v>3250</v>
      </c>
      <c r="P17" s="16">
        <f t="shared" si="3"/>
        <v>1.2726244343891402</v>
      </c>
      <c r="Q17" s="41">
        <v>2</v>
      </c>
      <c r="R17" s="16">
        <v>1.25</v>
      </c>
      <c r="S17" s="16">
        <f t="shared" si="5"/>
        <v>3.25</v>
      </c>
      <c r="T17" s="16">
        <f t="shared" si="4"/>
        <v>1.625</v>
      </c>
    </row>
    <row r="18" spans="2:20" x14ac:dyDescent="0.25">
      <c r="B18" s="16">
        <v>15</v>
      </c>
      <c r="C18" s="16" t="s">
        <v>190</v>
      </c>
      <c r="D18" s="17">
        <v>6.3</v>
      </c>
      <c r="E18" s="17">
        <v>6.07</v>
      </c>
      <c r="F18" s="17">
        <v>3.8</v>
      </c>
      <c r="G18" s="16">
        <f t="shared" si="0"/>
        <v>38.241</v>
      </c>
      <c r="H18" s="36">
        <f t="shared" si="1"/>
        <v>0.813534442411607</v>
      </c>
      <c r="I18" s="37">
        <v>0.4</v>
      </c>
      <c r="J18" s="38">
        <v>100</v>
      </c>
      <c r="K18" s="39">
        <v>0.8</v>
      </c>
      <c r="L18" s="16">
        <f t="shared" si="2"/>
        <v>0.32000000000000006</v>
      </c>
      <c r="M18" s="16" t="s">
        <v>101</v>
      </c>
      <c r="N18" s="16" t="s">
        <v>186</v>
      </c>
      <c r="O18" s="40">
        <v>3250</v>
      </c>
      <c r="P18" s="16">
        <f t="shared" si="3"/>
        <v>3.67701923076923</v>
      </c>
      <c r="Q18" s="41">
        <v>11</v>
      </c>
      <c r="R18" s="16">
        <v>1.25</v>
      </c>
      <c r="S18" s="16">
        <f t="shared" si="5"/>
        <v>4.75</v>
      </c>
      <c r="T18" s="16">
        <f t="shared" si="4"/>
        <v>2.375</v>
      </c>
    </row>
    <row r="19" spans="2:20" x14ac:dyDescent="0.25">
      <c r="B19" s="16">
        <v>16</v>
      </c>
      <c r="C19" s="16" t="s">
        <v>191</v>
      </c>
      <c r="D19" s="17">
        <v>5.0999999999999996</v>
      </c>
      <c r="E19" s="17">
        <v>3</v>
      </c>
      <c r="F19" s="17">
        <v>3.8</v>
      </c>
      <c r="G19" s="16">
        <f t="shared" si="0"/>
        <v>15.299999999999999</v>
      </c>
      <c r="H19" s="36">
        <f t="shared" si="1"/>
        <v>0.49707602339181289</v>
      </c>
      <c r="I19" s="37">
        <v>0.34</v>
      </c>
      <c r="J19" s="38">
        <v>100</v>
      </c>
      <c r="K19" s="39">
        <v>0.8</v>
      </c>
      <c r="L19" s="16">
        <f t="shared" si="2"/>
        <v>0.27200000000000002</v>
      </c>
      <c r="M19" s="16" t="s">
        <v>101</v>
      </c>
      <c r="N19" s="16" t="s">
        <v>186</v>
      </c>
      <c r="O19" s="40">
        <v>3250</v>
      </c>
      <c r="P19" s="16">
        <f t="shared" si="3"/>
        <v>1.7307692307692306</v>
      </c>
      <c r="Q19" s="41">
        <v>3</v>
      </c>
      <c r="R19" s="16">
        <v>1.25</v>
      </c>
      <c r="S19" s="16">
        <f t="shared" si="5"/>
        <v>4.75</v>
      </c>
      <c r="T19" s="16">
        <f t="shared" si="4"/>
        <v>2.375</v>
      </c>
    </row>
    <row r="20" spans="2:20" x14ac:dyDescent="0.25">
      <c r="B20" s="16">
        <v>17</v>
      </c>
      <c r="C20" s="16" t="s">
        <v>192</v>
      </c>
      <c r="D20" s="17">
        <v>6.3</v>
      </c>
      <c r="E20" s="17">
        <v>2.2999999999999998</v>
      </c>
      <c r="F20" s="17">
        <v>2.6</v>
      </c>
      <c r="G20" s="16">
        <f t="shared" si="0"/>
        <v>14.489999999999998</v>
      </c>
      <c r="H20" s="36">
        <f t="shared" si="1"/>
        <v>0.64803220035778175</v>
      </c>
      <c r="I20" s="37">
        <v>0.34</v>
      </c>
      <c r="J20" s="38">
        <v>100</v>
      </c>
      <c r="K20" s="39">
        <v>0.8</v>
      </c>
      <c r="L20" s="16">
        <f t="shared" si="2"/>
        <v>0.27200000000000002</v>
      </c>
      <c r="M20" s="16" t="s">
        <v>101</v>
      </c>
      <c r="N20" s="16" t="s">
        <v>186</v>
      </c>
      <c r="O20" s="40">
        <v>3250</v>
      </c>
      <c r="P20" s="16">
        <f t="shared" si="3"/>
        <v>1.6391402714932122</v>
      </c>
      <c r="Q20" s="41">
        <v>2</v>
      </c>
      <c r="R20" s="16">
        <v>1.25</v>
      </c>
      <c r="S20" s="16">
        <f t="shared" si="5"/>
        <v>3.25</v>
      </c>
      <c r="T20" s="16">
        <f t="shared" si="4"/>
        <v>1.625</v>
      </c>
    </row>
    <row r="21" spans="2:20" x14ac:dyDescent="0.25">
      <c r="B21" s="16">
        <v>18</v>
      </c>
      <c r="C21" s="16" t="s">
        <v>193</v>
      </c>
      <c r="D21" s="17">
        <v>8.8000000000000007</v>
      </c>
      <c r="E21" s="17">
        <v>4.5</v>
      </c>
      <c r="F21" s="17">
        <v>3.1</v>
      </c>
      <c r="G21" s="16">
        <f t="shared" si="0"/>
        <v>39.6</v>
      </c>
      <c r="H21" s="36">
        <f t="shared" si="1"/>
        <v>0.9604656803298568</v>
      </c>
      <c r="I21" s="37">
        <v>0.38</v>
      </c>
      <c r="J21" s="38">
        <v>200</v>
      </c>
      <c r="K21" s="39">
        <v>0.8</v>
      </c>
      <c r="L21" s="16">
        <f t="shared" si="2"/>
        <v>0.30400000000000005</v>
      </c>
      <c r="M21" s="16" t="s">
        <v>98</v>
      </c>
      <c r="N21" s="16" t="s">
        <v>174</v>
      </c>
      <c r="O21" s="40">
        <v>6500</v>
      </c>
      <c r="P21" s="16">
        <f t="shared" si="3"/>
        <v>4.0080971659919022</v>
      </c>
      <c r="Q21" s="41">
        <v>6</v>
      </c>
      <c r="R21" s="16">
        <v>1.25</v>
      </c>
      <c r="S21" s="16">
        <f t="shared" si="5"/>
        <v>3.875</v>
      </c>
      <c r="T21" s="16">
        <f t="shared" si="4"/>
        <v>1.9375</v>
      </c>
    </row>
    <row r="22" spans="2:20" x14ac:dyDescent="0.25">
      <c r="B22" s="16">
        <v>19</v>
      </c>
      <c r="C22" s="16" t="s">
        <v>194</v>
      </c>
      <c r="D22" s="17">
        <v>8.8000000000000007</v>
      </c>
      <c r="E22" s="17">
        <v>4.4000000000000004</v>
      </c>
      <c r="F22" s="17">
        <v>3.1</v>
      </c>
      <c r="G22" s="16">
        <f t="shared" si="0"/>
        <v>38.720000000000006</v>
      </c>
      <c r="H22" s="36">
        <f t="shared" si="1"/>
        <v>0.94623655913978511</v>
      </c>
      <c r="I22" s="37">
        <v>0.38</v>
      </c>
      <c r="J22" s="38">
        <v>200</v>
      </c>
      <c r="K22" s="39">
        <v>0.8</v>
      </c>
      <c r="L22" s="16">
        <f t="shared" si="2"/>
        <v>0.30400000000000005</v>
      </c>
      <c r="M22" s="16" t="s">
        <v>98</v>
      </c>
      <c r="N22" s="16" t="s">
        <v>174</v>
      </c>
      <c r="O22" s="40">
        <v>6500</v>
      </c>
      <c r="P22" s="16">
        <f t="shared" si="3"/>
        <v>3.9190283400809718</v>
      </c>
      <c r="Q22" s="41">
        <v>6</v>
      </c>
      <c r="R22" s="16">
        <v>1.25</v>
      </c>
      <c r="S22" s="16">
        <f t="shared" si="5"/>
        <v>3.875</v>
      </c>
      <c r="T22" s="16">
        <f t="shared" si="4"/>
        <v>1.9375</v>
      </c>
    </row>
    <row r="23" spans="2:20" x14ac:dyDescent="0.25">
      <c r="B23" s="16">
        <v>20</v>
      </c>
      <c r="C23" s="16" t="s">
        <v>195</v>
      </c>
      <c r="D23" s="17">
        <v>8.9</v>
      </c>
      <c r="E23" s="17">
        <v>8.8000000000000007</v>
      </c>
      <c r="F23" s="17">
        <v>3.1</v>
      </c>
      <c r="G23" s="16">
        <f t="shared" si="0"/>
        <v>78.320000000000007</v>
      </c>
      <c r="H23" s="36">
        <f t="shared" si="1"/>
        <v>1.4273737926006924</v>
      </c>
      <c r="I23" s="37">
        <v>0.46</v>
      </c>
      <c r="J23" s="38">
        <v>200</v>
      </c>
      <c r="K23" s="39">
        <v>0.8</v>
      </c>
      <c r="L23" s="16">
        <f t="shared" si="2"/>
        <v>0.36800000000000005</v>
      </c>
      <c r="M23" s="16" t="s">
        <v>98</v>
      </c>
      <c r="N23" s="16" t="s">
        <v>174</v>
      </c>
      <c r="O23" s="40">
        <v>6500</v>
      </c>
      <c r="P23" s="16">
        <f t="shared" si="3"/>
        <v>6.5484949832775916</v>
      </c>
      <c r="Q23" s="41">
        <v>9</v>
      </c>
      <c r="R23" s="16">
        <v>1.25</v>
      </c>
      <c r="S23" s="16">
        <f t="shared" si="5"/>
        <v>3.875</v>
      </c>
      <c r="T23" s="16">
        <f t="shared" si="4"/>
        <v>1.9375</v>
      </c>
    </row>
    <row r="24" spans="2:20" x14ac:dyDescent="0.25">
      <c r="B24" s="16">
        <v>21</v>
      </c>
      <c r="C24" s="16" t="s">
        <v>196</v>
      </c>
      <c r="D24" s="17">
        <v>8.8000000000000007</v>
      </c>
      <c r="E24" s="17">
        <v>6</v>
      </c>
      <c r="F24" s="17">
        <v>3.8</v>
      </c>
      <c r="G24" s="16">
        <f t="shared" si="0"/>
        <v>52.800000000000004</v>
      </c>
      <c r="H24" s="36">
        <f t="shared" si="1"/>
        <v>0.9388335704125178</v>
      </c>
      <c r="I24" s="37">
        <v>0.38</v>
      </c>
      <c r="J24" s="38">
        <v>150</v>
      </c>
      <c r="K24" s="39">
        <v>0.8</v>
      </c>
      <c r="L24" s="16">
        <f t="shared" si="2"/>
        <v>0.30400000000000005</v>
      </c>
      <c r="M24" s="16" t="s">
        <v>98</v>
      </c>
      <c r="N24" s="16" t="s">
        <v>174</v>
      </c>
      <c r="O24" s="40">
        <v>6500</v>
      </c>
      <c r="P24" s="16">
        <f t="shared" si="3"/>
        <v>4.0080971659919031</v>
      </c>
      <c r="Q24" s="41">
        <v>6</v>
      </c>
      <c r="R24" s="16">
        <v>1.25</v>
      </c>
      <c r="S24" s="16">
        <f t="shared" si="5"/>
        <v>4.75</v>
      </c>
      <c r="T24" s="16">
        <f t="shared" si="4"/>
        <v>2.375</v>
      </c>
    </row>
    <row r="25" spans="2:20" x14ac:dyDescent="0.25">
      <c r="B25" s="16">
        <v>22</v>
      </c>
      <c r="C25" s="16" t="s">
        <v>197</v>
      </c>
      <c r="D25" s="17">
        <v>23.07</v>
      </c>
      <c r="E25" s="17">
        <v>1.8</v>
      </c>
      <c r="F25" s="17">
        <v>2.6</v>
      </c>
      <c r="G25" s="16">
        <f t="shared" si="0"/>
        <v>41.526000000000003</v>
      </c>
      <c r="H25" s="36">
        <f t="shared" si="1"/>
        <v>0.64220098357613431</v>
      </c>
      <c r="I25" s="37">
        <v>0.34</v>
      </c>
      <c r="J25" s="38">
        <v>100</v>
      </c>
      <c r="K25" s="39">
        <v>0.8</v>
      </c>
      <c r="L25" s="16">
        <f t="shared" si="2"/>
        <v>0.27200000000000002</v>
      </c>
      <c r="M25" s="16" t="s">
        <v>101</v>
      </c>
      <c r="N25" s="16" t="s">
        <v>186</v>
      </c>
      <c r="O25" s="40">
        <v>3250</v>
      </c>
      <c r="P25" s="16">
        <f t="shared" si="3"/>
        <v>4.6975113122171948</v>
      </c>
      <c r="Q25" s="41">
        <v>8</v>
      </c>
      <c r="R25" s="16">
        <v>1.25</v>
      </c>
      <c r="S25" s="16">
        <f t="shared" si="5"/>
        <v>3.25</v>
      </c>
      <c r="T25" s="16">
        <f t="shared" si="4"/>
        <v>1.625</v>
      </c>
    </row>
    <row r="26" spans="2:20" x14ac:dyDescent="0.25">
      <c r="B26" s="16">
        <v>23</v>
      </c>
      <c r="C26" s="16" t="s">
        <v>198</v>
      </c>
      <c r="D26" s="17">
        <v>5.2</v>
      </c>
      <c r="E26" s="17">
        <v>3.2</v>
      </c>
      <c r="F26" s="17">
        <v>3.8</v>
      </c>
      <c r="G26" s="16">
        <f t="shared" si="0"/>
        <v>16.64</v>
      </c>
      <c r="H26" s="36">
        <f t="shared" si="1"/>
        <v>0.52130325814536349</v>
      </c>
      <c r="I26" s="37">
        <v>0.34</v>
      </c>
      <c r="J26" s="38">
        <v>100</v>
      </c>
      <c r="K26" s="39">
        <v>0.8</v>
      </c>
      <c r="L26" s="16">
        <f t="shared" si="2"/>
        <v>0.27200000000000002</v>
      </c>
      <c r="M26" s="16" t="s">
        <v>101</v>
      </c>
      <c r="N26" s="16" t="s">
        <v>186</v>
      </c>
      <c r="O26" s="40">
        <v>3250</v>
      </c>
      <c r="P26" s="16">
        <f t="shared" si="3"/>
        <v>1.8823529411764703</v>
      </c>
      <c r="Q26" s="41">
        <v>3</v>
      </c>
      <c r="R26" s="16">
        <v>1.25</v>
      </c>
      <c r="S26" s="16">
        <f t="shared" si="5"/>
        <v>4.75</v>
      </c>
      <c r="T26" s="16">
        <f t="shared" si="4"/>
        <v>2.375</v>
      </c>
    </row>
    <row r="27" spans="2:20" x14ac:dyDescent="0.25">
      <c r="B27" s="16">
        <v>24</v>
      </c>
      <c r="C27" s="16" t="s">
        <v>199</v>
      </c>
      <c r="D27" s="17">
        <v>2.1</v>
      </c>
      <c r="E27" s="17">
        <v>1.2</v>
      </c>
      <c r="F27" s="17">
        <v>2.6</v>
      </c>
      <c r="G27" s="16">
        <f t="shared" si="0"/>
        <v>2.52</v>
      </c>
      <c r="H27" s="36">
        <f t="shared" si="1"/>
        <v>0.2937062937062937</v>
      </c>
      <c r="I27" s="37">
        <v>0.34</v>
      </c>
      <c r="J27" s="38">
        <v>100</v>
      </c>
      <c r="K27" s="39">
        <v>0.8</v>
      </c>
      <c r="L27" s="16">
        <f t="shared" si="2"/>
        <v>0.27200000000000002</v>
      </c>
      <c r="M27" s="16" t="s">
        <v>101</v>
      </c>
      <c r="N27" s="16" t="s">
        <v>186</v>
      </c>
      <c r="O27" s="40">
        <v>3250</v>
      </c>
      <c r="P27" s="16">
        <f t="shared" si="3"/>
        <v>0.28506787330316741</v>
      </c>
      <c r="Q27" s="41">
        <v>1</v>
      </c>
      <c r="R27" s="16">
        <v>1.25</v>
      </c>
      <c r="S27" s="16">
        <f t="shared" si="5"/>
        <v>3.25</v>
      </c>
      <c r="T27" s="16">
        <f t="shared" si="4"/>
        <v>1.625</v>
      </c>
    </row>
    <row r="28" spans="2:20" x14ac:dyDescent="0.25">
      <c r="B28" s="16">
        <v>25</v>
      </c>
      <c r="C28" s="16" t="s">
        <v>200</v>
      </c>
      <c r="D28" s="17">
        <v>6.3</v>
      </c>
      <c r="E28" s="17">
        <v>3.07</v>
      </c>
      <c r="F28" s="17">
        <v>3.8</v>
      </c>
      <c r="G28" s="16">
        <f t="shared" si="0"/>
        <v>19.340999999999998</v>
      </c>
      <c r="H28" s="36">
        <f t="shared" si="1"/>
        <v>0.54319496714036963</v>
      </c>
      <c r="I28" s="37">
        <v>0.32</v>
      </c>
      <c r="J28" s="38">
        <v>300</v>
      </c>
      <c r="K28" s="39">
        <v>0.8</v>
      </c>
      <c r="L28" s="16">
        <f t="shared" si="2"/>
        <v>0.25600000000000001</v>
      </c>
      <c r="M28" s="16" t="s">
        <v>98</v>
      </c>
      <c r="N28" s="16" t="s">
        <v>174</v>
      </c>
      <c r="O28" s="40">
        <v>6500</v>
      </c>
      <c r="P28" s="16">
        <f t="shared" si="3"/>
        <v>3.4869591346153843</v>
      </c>
      <c r="Q28" s="41">
        <v>4</v>
      </c>
      <c r="R28" s="16">
        <v>1.25</v>
      </c>
      <c r="S28" s="16">
        <f t="shared" si="5"/>
        <v>4.75</v>
      </c>
      <c r="T28" s="16">
        <f t="shared" si="4"/>
        <v>2.375</v>
      </c>
    </row>
    <row r="29" spans="2:20" x14ac:dyDescent="0.25">
      <c r="B29" s="16">
        <v>26</v>
      </c>
      <c r="C29" s="16" t="s">
        <v>201</v>
      </c>
      <c r="D29" s="17">
        <v>6.3</v>
      </c>
      <c r="E29" s="17">
        <v>3</v>
      </c>
      <c r="F29" s="17">
        <v>3.8</v>
      </c>
      <c r="G29" s="16">
        <f t="shared" si="0"/>
        <v>18.899999999999999</v>
      </c>
      <c r="H29" s="36">
        <f t="shared" si="1"/>
        <v>0.5348047538200339</v>
      </c>
      <c r="I29" s="37">
        <v>0.32</v>
      </c>
      <c r="J29" s="38">
        <v>300</v>
      </c>
      <c r="K29" s="39">
        <v>0.8</v>
      </c>
      <c r="L29" s="16">
        <f t="shared" si="2"/>
        <v>0.25600000000000001</v>
      </c>
      <c r="M29" s="16" t="s">
        <v>98</v>
      </c>
      <c r="N29" s="16" t="s">
        <v>174</v>
      </c>
      <c r="O29" s="40">
        <v>6500</v>
      </c>
      <c r="P29" s="16">
        <f t="shared" si="3"/>
        <v>3.4074519230769229</v>
      </c>
      <c r="Q29" s="41">
        <v>4</v>
      </c>
      <c r="R29" s="16">
        <v>1.25</v>
      </c>
      <c r="S29" s="16">
        <f t="shared" si="5"/>
        <v>4.75</v>
      </c>
      <c r="T29" s="16">
        <f t="shared" si="4"/>
        <v>2.375</v>
      </c>
    </row>
    <row r="30" spans="2:20" x14ac:dyDescent="0.25">
      <c r="B30" s="16">
        <v>27</v>
      </c>
      <c r="C30" s="16" t="s">
        <v>202</v>
      </c>
      <c r="D30" s="17">
        <v>10.6</v>
      </c>
      <c r="E30" s="17">
        <v>4.5</v>
      </c>
      <c r="F30" s="17">
        <v>3.1</v>
      </c>
      <c r="G30" s="16">
        <f t="shared" si="0"/>
        <v>47.699999999999996</v>
      </c>
      <c r="H30" s="36">
        <f t="shared" si="1"/>
        <v>1.0190130314035462</v>
      </c>
      <c r="I30" s="37">
        <v>0.32</v>
      </c>
      <c r="J30" s="38">
        <v>300</v>
      </c>
      <c r="K30" s="39">
        <v>0.8</v>
      </c>
      <c r="L30" s="16">
        <f t="shared" si="2"/>
        <v>0.25600000000000001</v>
      </c>
      <c r="M30" s="16" t="s">
        <v>98</v>
      </c>
      <c r="N30" s="16" t="s">
        <v>174</v>
      </c>
      <c r="O30" s="40">
        <v>6500</v>
      </c>
      <c r="P30" s="16">
        <f t="shared" si="3"/>
        <v>8.599759615384615</v>
      </c>
      <c r="Q30" s="41">
        <v>9</v>
      </c>
      <c r="R30" s="16">
        <v>1.25</v>
      </c>
      <c r="S30" s="16">
        <f t="shared" si="5"/>
        <v>3.875</v>
      </c>
      <c r="T30" s="16">
        <f t="shared" si="4"/>
        <v>1.9375</v>
      </c>
    </row>
    <row r="31" spans="2:20" x14ac:dyDescent="0.25">
      <c r="B31" s="16">
        <v>28</v>
      </c>
      <c r="C31" s="16" t="s">
        <v>203</v>
      </c>
      <c r="D31" s="17">
        <v>4.5</v>
      </c>
      <c r="E31" s="17">
        <v>4.3</v>
      </c>
      <c r="F31" s="17">
        <v>3.1</v>
      </c>
      <c r="G31" s="16">
        <f t="shared" si="0"/>
        <v>19.349999999999998</v>
      </c>
      <c r="H31" s="36">
        <f t="shared" si="1"/>
        <v>0.70931085043988251</v>
      </c>
      <c r="I31" s="37">
        <v>0.32</v>
      </c>
      <c r="J31" s="38">
        <v>300</v>
      </c>
      <c r="K31" s="39">
        <v>0.8</v>
      </c>
      <c r="L31" s="16">
        <f t="shared" si="2"/>
        <v>0.25600000000000001</v>
      </c>
      <c r="M31" s="16" t="s">
        <v>98</v>
      </c>
      <c r="N31" s="16" t="s">
        <v>174</v>
      </c>
      <c r="O31" s="40">
        <v>6500</v>
      </c>
      <c r="P31" s="16">
        <f t="shared" si="3"/>
        <v>3.4885817307692304</v>
      </c>
      <c r="Q31" s="41">
        <v>4</v>
      </c>
      <c r="R31" s="16">
        <v>1.25</v>
      </c>
      <c r="S31" s="16">
        <f t="shared" si="5"/>
        <v>3.875</v>
      </c>
      <c r="T31" s="16">
        <f t="shared" si="4"/>
        <v>1.9375</v>
      </c>
    </row>
    <row r="32" spans="2:20" x14ac:dyDescent="0.25">
      <c r="B32" s="16">
        <v>29</v>
      </c>
      <c r="C32" s="16" t="s">
        <v>204</v>
      </c>
      <c r="D32" s="17">
        <v>4.5</v>
      </c>
      <c r="E32" s="17">
        <v>3.1</v>
      </c>
      <c r="F32" s="17">
        <v>3.1</v>
      </c>
      <c r="G32" s="16">
        <f t="shared" si="0"/>
        <v>13.950000000000001</v>
      </c>
      <c r="H32" s="36">
        <f t="shared" si="1"/>
        <v>0.5921052631578948</v>
      </c>
      <c r="I32" s="37">
        <v>0.32</v>
      </c>
      <c r="J32" s="38">
        <v>300</v>
      </c>
      <c r="K32" s="39">
        <v>0.8</v>
      </c>
      <c r="L32" s="16">
        <f t="shared" si="2"/>
        <v>0.25600000000000001</v>
      </c>
      <c r="M32" s="16" t="s">
        <v>98</v>
      </c>
      <c r="N32" s="16" t="s">
        <v>174</v>
      </c>
      <c r="O32" s="40">
        <v>6500</v>
      </c>
      <c r="P32" s="16">
        <f t="shared" si="3"/>
        <v>2.5150240384615383</v>
      </c>
      <c r="Q32" s="41">
        <v>3</v>
      </c>
      <c r="R32" s="16">
        <v>1.25</v>
      </c>
      <c r="S32" s="16">
        <f t="shared" si="5"/>
        <v>3.875</v>
      </c>
      <c r="T32" s="16">
        <f t="shared" si="4"/>
        <v>1.9375</v>
      </c>
    </row>
    <row r="33" spans="2:20" x14ac:dyDescent="0.25">
      <c r="B33" s="16">
        <v>30</v>
      </c>
      <c r="C33" s="16" t="s">
        <v>205</v>
      </c>
      <c r="D33" s="17">
        <v>4.5</v>
      </c>
      <c r="E33" s="17">
        <v>3.02</v>
      </c>
      <c r="F33" s="17">
        <v>3.1</v>
      </c>
      <c r="G33" s="16">
        <f t="shared" si="0"/>
        <v>13.59</v>
      </c>
      <c r="H33" s="36">
        <f t="shared" si="1"/>
        <v>0.58296156485929995</v>
      </c>
      <c r="I33" s="37">
        <v>0.32</v>
      </c>
      <c r="J33" s="38">
        <v>300</v>
      </c>
      <c r="K33" s="39">
        <v>0.8</v>
      </c>
      <c r="L33" s="16">
        <f t="shared" si="2"/>
        <v>0.25600000000000001</v>
      </c>
      <c r="M33" s="16" t="s">
        <v>98</v>
      </c>
      <c r="N33" s="16" t="s">
        <v>174</v>
      </c>
      <c r="O33" s="40">
        <v>6500</v>
      </c>
      <c r="P33" s="16">
        <f t="shared" si="3"/>
        <v>2.4501201923076925</v>
      </c>
      <c r="Q33" s="41">
        <v>3</v>
      </c>
      <c r="R33" s="16">
        <v>1.25</v>
      </c>
      <c r="S33" s="16">
        <f t="shared" si="5"/>
        <v>3.875</v>
      </c>
      <c r="T33" s="16">
        <f t="shared" si="4"/>
        <v>1.9375</v>
      </c>
    </row>
    <row r="34" spans="2:20" x14ac:dyDescent="0.25">
      <c r="B34" s="16">
        <v>31</v>
      </c>
      <c r="C34" s="16" t="s">
        <v>206</v>
      </c>
      <c r="D34" s="17">
        <v>4.5</v>
      </c>
      <c r="E34" s="17">
        <v>3.2</v>
      </c>
      <c r="F34" s="17">
        <v>3.1</v>
      </c>
      <c r="G34" s="16">
        <f t="shared" si="0"/>
        <v>14.4</v>
      </c>
      <c r="H34" s="36">
        <f t="shared" si="1"/>
        <v>0.60326770004189356</v>
      </c>
      <c r="I34" s="37">
        <v>0.32</v>
      </c>
      <c r="J34" s="38">
        <v>300</v>
      </c>
      <c r="K34" s="39">
        <v>0.8</v>
      </c>
      <c r="L34" s="16">
        <f t="shared" si="2"/>
        <v>0.25600000000000001</v>
      </c>
      <c r="M34" s="16" t="s">
        <v>98</v>
      </c>
      <c r="N34" s="16" t="s">
        <v>174</v>
      </c>
      <c r="O34" s="40">
        <v>6500</v>
      </c>
      <c r="P34" s="16">
        <f t="shared" si="3"/>
        <v>2.5961538461538463</v>
      </c>
      <c r="Q34" s="41">
        <v>3</v>
      </c>
      <c r="R34" s="16">
        <v>1.25</v>
      </c>
      <c r="S34" s="16">
        <f t="shared" si="5"/>
        <v>3.875</v>
      </c>
      <c r="T34" s="16">
        <f t="shared" si="4"/>
        <v>1.9375</v>
      </c>
    </row>
    <row r="35" spans="2:20" x14ac:dyDescent="0.25">
      <c r="B35" s="16">
        <v>32</v>
      </c>
      <c r="C35" s="16" t="s">
        <v>207</v>
      </c>
      <c r="D35" s="17">
        <v>4.5</v>
      </c>
      <c r="E35" s="17">
        <v>3.05</v>
      </c>
      <c r="F35" s="17">
        <v>3.1</v>
      </c>
      <c r="G35" s="16">
        <f t="shared" si="0"/>
        <v>13.725</v>
      </c>
      <c r="H35" s="36">
        <f t="shared" si="1"/>
        <v>0.58641315958128604</v>
      </c>
      <c r="I35" s="37">
        <v>0.32</v>
      </c>
      <c r="J35" s="38">
        <v>300</v>
      </c>
      <c r="K35" s="39">
        <v>0.8</v>
      </c>
      <c r="L35" s="16">
        <f t="shared" si="2"/>
        <v>0.25600000000000001</v>
      </c>
      <c r="M35" s="16" t="s">
        <v>98</v>
      </c>
      <c r="N35" s="16" t="s">
        <v>174</v>
      </c>
      <c r="O35" s="40">
        <v>6500</v>
      </c>
      <c r="P35" s="16">
        <f t="shared" si="3"/>
        <v>2.4744591346153846</v>
      </c>
      <c r="Q35" s="41">
        <v>3</v>
      </c>
      <c r="R35" s="16">
        <v>1.25</v>
      </c>
      <c r="S35" s="16">
        <f t="shared" si="5"/>
        <v>3.875</v>
      </c>
      <c r="T35" s="16">
        <f t="shared" si="4"/>
        <v>1.9375</v>
      </c>
    </row>
    <row r="36" spans="2:20" x14ac:dyDescent="0.25">
      <c r="B36" s="16">
        <v>33</v>
      </c>
      <c r="C36" s="16" t="s">
        <v>208</v>
      </c>
      <c r="D36" s="17">
        <v>4.5</v>
      </c>
      <c r="E36" s="17">
        <v>6</v>
      </c>
      <c r="F36" s="17">
        <v>3.1</v>
      </c>
      <c r="G36" s="16">
        <f t="shared" si="0"/>
        <v>27</v>
      </c>
      <c r="H36" s="36">
        <f t="shared" si="1"/>
        <v>0.82949308755760354</v>
      </c>
      <c r="I36" s="37">
        <v>0.38</v>
      </c>
      <c r="J36" s="38">
        <v>300</v>
      </c>
      <c r="K36" s="39">
        <v>0.8</v>
      </c>
      <c r="L36" s="16">
        <f t="shared" si="2"/>
        <v>0.30400000000000005</v>
      </c>
      <c r="M36" s="16" t="s">
        <v>98</v>
      </c>
      <c r="N36" s="16" t="s">
        <v>174</v>
      </c>
      <c r="O36" s="40">
        <v>6500</v>
      </c>
      <c r="P36" s="16">
        <f t="shared" si="3"/>
        <v>4.0991902834008096</v>
      </c>
      <c r="Q36" s="41">
        <v>6</v>
      </c>
      <c r="R36" s="16">
        <v>1.25</v>
      </c>
      <c r="S36" s="16">
        <f t="shared" si="5"/>
        <v>3.875</v>
      </c>
      <c r="T36" s="16">
        <f t="shared" si="4"/>
        <v>1.9375</v>
      </c>
    </row>
    <row r="37" spans="2:20" x14ac:dyDescent="0.25">
      <c r="B37" s="16">
        <v>34</v>
      </c>
      <c r="C37" s="16" t="s">
        <v>209</v>
      </c>
      <c r="D37" s="17">
        <v>4.5</v>
      </c>
      <c r="E37" s="17">
        <v>6</v>
      </c>
      <c r="F37" s="17">
        <v>2.6</v>
      </c>
      <c r="G37" s="16">
        <f t="shared" si="0"/>
        <v>27</v>
      </c>
      <c r="H37" s="36">
        <f t="shared" si="1"/>
        <v>0.98901098901098894</v>
      </c>
      <c r="I37" s="37">
        <v>0.4</v>
      </c>
      <c r="J37" s="38">
        <v>100</v>
      </c>
      <c r="K37" s="39">
        <v>0.8</v>
      </c>
      <c r="L37" s="16">
        <f t="shared" si="2"/>
        <v>0.32000000000000006</v>
      </c>
      <c r="M37" s="16" t="s">
        <v>101</v>
      </c>
      <c r="N37" s="16" t="s">
        <v>186</v>
      </c>
      <c r="O37" s="40">
        <v>3250</v>
      </c>
      <c r="P37" s="16">
        <f t="shared" si="3"/>
        <v>2.5961538461538454</v>
      </c>
      <c r="Q37" s="41">
        <v>4</v>
      </c>
      <c r="R37" s="16">
        <v>1.25</v>
      </c>
      <c r="S37" s="16">
        <f t="shared" si="5"/>
        <v>3.25</v>
      </c>
      <c r="T37" s="16">
        <f t="shared" si="4"/>
        <v>1.625</v>
      </c>
    </row>
    <row r="38" spans="2:20" x14ac:dyDescent="0.25">
      <c r="B38" s="16">
        <v>35</v>
      </c>
      <c r="C38" s="16" t="s">
        <v>210</v>
      </c>
      <c r="D38" s="17">
        <v>5.0999999999999996</v>
      </c>
      <c r="E38" s="17">
        <v>3</v>
      </c>
      <c r="F38" s="17">
        <v>3.8</v>
      </c>
      <c r="G38" s="16">
        <f t="shared" si="0"/>
        <v>15.299999999999999</v>
      </c>
      <c r="H38" s="36">
        <f t="shared" si="1"/>
        <v>0.49707602339181289</v>
      </c>
      <c r="I38" s="37">
        <v>0.34</v>
      </c>
      <c r="J38" s="38">
        <v>100</v>
      </c>
      <c r="K38" s="39">
        <v>0.8</v>
      </c>
      <c r="L38" s="16">
        <f t="shared" si="2"/>
        <v>0.27200000000000002</v>
      </c>
      <c r="M38" s="16" t="s">
        <v>101</v>
      </c>
      <c r="N38" s="16" t="s">
        <v>186</v>
      </c>
      <c r="O38" s="40">
        <v>3250</v>
      </c>
      <c r="P38" s="16">
        <f t="shared" si="3"/>
        <v>1.7307692307692306</v>
      </c>
      <c r="Q38" s="41">
        <v>3</v>
      </c>
      <c r="R38" s="16">
        <v>1.25</v>
      </c>
      <c r="S38" s="16">
        <f t="shared" si="5"/>
        <v>4.75</v>
      </c>
      <c r="T38" s="16">
        <f t="shared" si="4"/>
        <v>2.375</v>
      </c>
    </row>
    <row r="39" spans="2:20" x14ac:dyDescent="0.25">
      <c r="B39" s="16">
        <v>36</v>
      </c>
      <c r="C39" s="16" t="s">
        <v>211</v>
      </c>
      <c r="D39" s="17">
        <v>6.1</v>
      </c>
      <c r="E39" s="17">
        <v>2.2999999999999998</v>
      </c>
      <c r="F39" s="17">
        <v>2.6</v>
      </c>
      <c r="G39" s="16">
        <f t="shared" si="0"/>
        <v>14.029999999999998</v>
      </c>
      <c r="H39" s="36">
        <f t="shared" si="1"/>
        <v>0.64239926739926745</v>
      </c>
      <c r="I39" s="37">
        <v>0.34</v>
      </c>
      <c r="J39" s="38">
        <v>100</v>
      </c>
      <c r="K39" s="39">
        <v>0.8</v>
      </c>
      <c r="L39" s="16">
        <f t="shared" si="2"/>
        <v>0.27200000000000002</v>
      </c>
      <c r="M39" s="16" t="s">
        <v>101</v>
      </c>
      <c r="N39" s="16" t="s">
        <v>186</v>
      </c>
      <c r="O39" s="40">
        <v>3250</v>
      </c>
      <c r="P39" s="16">
        <f t="shared" si="3"/>
        <v>1.5871040723981895</v>
      </c>
      <c r="Q39" s="41">
        <v>3</v>
      </c>
      <c r="R39" s="16">
        <v>1.25</v>
      </c>
      <c r="S39" s="16">
        <f t="shared" si="5"/>
        <v>3.25</v>
      </c>
      <c r="T39" s="16">
        <f t="shared" si="4"/>
        <v>1.625</v>
      </c>
    </row>
    <row r="40" spans="2:20" x14ac:dyDescent="0.25">
      <c r="B40" s="16">
        <v>37</v>
      </c>
      <c r="C40" s="16" t="s">
        <v>212</v>
      </c>
      <c r="D40" s="17">
        <v>4.5</v>
      </c>
      <c r="E40" s="17">
        <v>3</v>
      </c>
      <c r="F40" s="17">
        <v>3.8</v>
      </c>
      <c r="G40" s="16">
        <f t="shared" si="0"/>
        <v>13.5</v>
      </c>
      <c r="H40" s="36">
        <f t="shared" si="1"/>
        <v>0.47368421052631576</v>
      </c>
      <c r="I40" s="37">
        <v>0.34</v>
      </c>
      <c r="J40" s="38">
        <v>150</v>
      </c>
      <c r="K40" s="39">
        <v>0.8</v>
      </c>
      <c r="L40" s="16">
        <f t="shared" si="2"/>
        <v>0.27200000000000002</v>
      </c>
      <c r="M40" s="16" t="s">
        <v>101</v>
      </c>
      <c r="N40" s="16" t="s">
        <v>186</v>
      </c>
      <c r="O40" s="40">
        <v>3250</v>
      </c>
      <c r="P40" s="16">
        <f t="shared" si="3"/>
        <v>2.2907239819004523</v>
      </c>
      <c r="Q40" s="41">
        <v>3</v>
      </c>
      <c r="R40" s="16">
        <v>1.25</v>
      </c>
      <c r="S40" s="16">
        <f t="shared" si="5"/>
        <v>4.75</v>
      </c>
      <c r="T40" s="16">
        <f t="shared" si="4"/>
        <v>2.375</v>
      </c>
    </row>
    <row r="41" spans="2:20" x14ac:dyDescent="0.25">
      <c r="B41" s="16">
        <v>38</v>
      </c>
      <c r="C41" s="16" t="s">
        <v>213</v>
      </c>
      <c r="D41" s="17">
        <v>3.4</v>
      </c>
      <c r="E41" s="17">
        <v>1.5</v>
      </c>
      <c r="F41" s="17">
        <v>3.1</v>
      </c>
      <c r="G41" s="16">
        <f t="shared" si="0"/>
        <v>5.0999999999999996</v>
      </c>
      <c r="H41" s="36">
        <f t="shared" si="1"/>
        <v>0.33574720210664905</v>
      </c>
      <c r="I41" s="37">
        <v>0.32</v>
      </c>
      <c r="J41" s="38">
        <v>500</v>
      </c>
      <c r="K41" s="39">
        <v>0.8</v>
      </c>
      <c r="L41" s="16">
        <f t="shared" si="2"/>
        <v>0.25600000000000001</v>
      </c>
      <c r="M41" s="16" t="s">
        <v>98</v>
      </c>
      <c r="N41" s="16" t="s">
        <v>174</v>
      </c>
      <c r="O41" s="40">
        <v>6500</v>
      </c>
      <c r="P41" s="16">
        <f t="shared" si="3"/>
        <v>1.5324519230769231</v>
      </c>
      <c r="Q41" s="41">
        <v>2</v>
      </c>
      <c r="R41" s="16">
        <v>1.25</v>
      </c>
      <c r="S41" s="16">
        <f t="shared" si="5"/>
        <v>3.875</v>
      </c>
      <c r="T41" s="16">
        <f t="shared" si="4"/>
        <v>1.9375</v>
      </c>
    </row>
    <row r="42" spans="2:20" x14ac:dyDescent="0.25">
      <c r="B42" s="16">
        <v>39</v>
      </c>
      <c r="C42" s="16" t="s">
        <v>214</v>
      </c>
      <c r="D42" s="17">
        <v>10.5</v>
      </c>
      <c r="E42" s="17">
        <v>1.6</v>
      </c>
      <c r="F42" s="17">
        <v>2.6</v>
      </c>
      <c r="G42" s="16">
        <f t="shared" si="0"/>
        <v>16.8</v>
      </c>
      <c r="H42" s="36">
        <f t="shared" si="1"/>
        <v>0.53401144310235216</v>
      </c>
      <c r="I42" s="37">
        <v>0.34</v>
      </c>
      <c r="J42" s="38">
        <v>100</v>
      </c>
      <c r="K42" s="39">
        <v>0.8</v>
      </c>
      <c r="L42" s="16">
        <f t="shared" si="2"/>
        <v>0.27200000000000002</v>
      </c>
      <c r="M42" s="16" t="s">
        <v>101</v>
      </c>
      <c r="N42" s="16" t="s">
        <v>186</v>
      </c>
      <c r="O42" s="40">
        <v>3250</v>
      </c>
      <c r="P42" s="16">
        <f t="shared" si="3"/>
        <v>1.9004524886877825</v>
      </c>
      <c r="Q42" s="41">
        <v>4</v>
      </c>
      <c r="R42" s="16">
        <v>1.25</v>
      </c>
      <c r="S42" s="16">
        <f t="shared" si="5"/>
        <v>3.25</v>
      </c>
      <c r="T42" s="16">
        <f t="shared" si="4"/>
        <v>1.625</v>
      </c>
    </row>
    <row r="43" spans="2:20" x14ac:dyDescent="0.25">
      <c r="B43" s="16">
        <v>40</v>
      </c>
      <c r="C43" s="16" t="s">
        <v>215</v>
      </c>
      <c r="D43" s="17">
        <v>10.6</v>
      </c>
      <c r="E43" s="17">
        <v>1.3</v>
      </c>
      <c r="F43" s="17">
        <v>2.6</v>
      </c>
      <c r="G43" s="16">
        <f t="shared" si="0"/>
        <v>13.78</v>
      </c>
      <c r="H43" s="36">
        <f t="shared" si="1"/>
        <v>0.44537815126050417</v>
      </c>
      <c r="I43" s="37">
        <v>0.34</v>
      </c>
      <c r="J43" s="38">
        <v>100</v>
      </c>
      <c r="K43" s="39">
        <v>0.8</v>
      </c>
      <c r="L43" s="16">
        <f t="shared" si="2"/>
        <v>0.27200000000000002</v>
      </c>
      <c r="M43" s="16" t="s">
        <v>101</v>
      </c>
      <c r="N43" s="16" t="s">
        <v>186</v>
      </c>
      <c r="O43" s="40">
        <v>3250</v>
      </c>
      <c r="P43" s="16">
        <f t="shared" si="3"/>
        <v>1.5588235294117645</v>
      </c>
      <c r="Q43" s="41">
        <v>4</v>
      </c>
      <c r="R43" s="16">
        <v>1.25</v>
      </c>
      <c r="S43" s="16">
        <f t="shared" si="5"/>
        <v>3.25</v>
      </c>
      <c r="T43" s="16">
        <f t="shared" si="4"/>
        <v>1.625</v>
      </c>
    </row>
    <row r="44" spans="2:20" x14ac:dyDescent="0.25">
      <c r="B44" s="16">
        <v>41</v>
      </c>
      <c r="C44" s="16" t="s">
        <v>58</v>
      </c>
      <c r="D44" s="17">
        <v>6.4</v>
      </c>
      <c r="E44" s="17">
        <v>6</v>
      </c>
      <c r="F44" s="17">
        <v>3.8</v>
      </c>
      <c r="G44" s="16">
        <f t="shared" si="0"/>
        <v>38.400000000000006</v>
      </c>
      <c r="H44" s="36">
        <f t="shared" si="1"/>
        <v>0.81494057724957569</v>
      </c>
      <c r="I44" s="37">
        <v>0.4</v>
      </c>
      <c r="J44" s="38">
        <v>30</v>
      </c>
      <c r="K44" s="39">
        <v>0.8</v>
      </c>
      <c r="L44" s="16">
        <f t="shared" si="2"/>
        <v>0.32000000000000006</v>
      </c>
      <c r="M44" s="16" t="s">
        <v>101</v>
      </c>
      <c r="N44" s="16" t="s">
        <v>186</v>
      </c>
      <c r="O44" s="40">
        <v>3250</v>
      </c>
      <c r="P44" s="16">
        <f t="shared" si="3"/>
        <v>1.1076923076923078</v>
      </c>
      <c r="Q44" s="41">
        <v>2</v>
      </c>
      <c r="R44" s="16">
        <v>1.25</v>
      </c>
      <c r="S44" s="16">
        <f t="shared" si="5"/>
        <v>4.75</v>
      </c>
      <c r="T44" s="16">
        <f t="shared" si="4"/>
        <v>2.375</v>
      </c>
    </row>
    <row r="45" spans="2:20" x14ac:dyDescent="0.25">
      <c r="B45" s="16">
        <v>42</v>
      </c>
      <c r="C45" s="16" t="s">
        <v>216</v>
      </c>
      <c r="D45" s="17">
        <v>9.1</v>
      </c>
      <c r="E45" s="17">
        <v>1.1000000000000001</v>
      </c>
      <c r="F45" s="17">
        <v>2.6</v>
      </c>
      <c r="G45" s="16">
        <f t="shared" si="0"/>
        <v>10.01</v>
      </c>
      <c r="H45" s="36">
        <f t="shared" si="1"/>
        <v>0.37745098039215685</v>
      </c>
      <c r="I45" s="37">
        <v>0.34</v>
      </c>
      <c r="J45" s="38">
        <v>100</v>
      </c>
      <c r="K45" s="39">
        <v>0.8</v>
      </c>
      <c r="L45" s="16">
        <f t="shared" si="2"/>
        <v>0.27200000000000002</v>
      </c>
      <c r="M45" s="16" t="s">
        <v>101</v>
      </c>
      <c r="N45" s="16" t="s">
        <v>186</v>
      </c>
      <c r="O45" s="40">
        <v>3250</v>
      </c>
      <c r="P45" s="16">
        <f t="shared" si="3"/>
        <v>1.1323529411764703</v>
      </c>
      <c r="Q45" s="41">
        <v>3</v>
      </c>
      <c r="R45" s="16">
        <v>1.25</v>
      </c>
      <c r="S45" s="16">
        <f t="shared" si="5"/>
        <v>3.25</v>
      </c>
      <c r="T45" s="16">
        <f t="shared" si="4"/>
        <v>1.625</v>
      </c>
    </row>
    <row r="46" spans="2:20" x14ac:dyDescent="0.25">
      <c r="B46" s="16">
        <v>43</v>
      </c>
      <c r="C46" s="16" t="s">
        <v>217</v>
      </c>
      <c r="D46" s="17">
        <v>6.07</v>
      </c>
      <c r="E46" s="17">
        <v>2.8</v>
      </c>
      <c r="F46" s="17">
        <v>2.6</v>
      </c>
      <c r="G46" s="16">
        <f t="shared" si="0"/>
        <v>16.995999999999999</v>
      </c>
      <c r="H46" s="36">
        <f t="shared" si="1"/>
        <v>0.73696990720666011</v>
      </c>
      <c r="I46" s="37">
        <v>0.34</v>
      </c>
      <c r="J46" s="38">
        <v>100</v>
      </c>
      <c r="K46" s="39">
        <v>0.8</v>
      </c>
      <c r="L46" s="16">
        <f t="shared" si="2"/>
        <v>0.27200000000000002</v>
      </c>
      <c r="M46" s="16" t="s">
        <v>101</v>
      </c>
      <c r="N46" s="16" t="s">
        <v>186</v>
      </c>
      <c r="O46" s="40">
        <v>3250</v>
      </c>
      <c r="P46" s="16">
        <f t="shared" si="3"/>
        <v>1.9226244343891399</v>
      </c>
      <c r="Q46" s="41">
        <v>2</v>
      </c>
      <c r="R46" s="16">
        <v>1.25</v>
      </c>
      <c r="S46" s="16">
        <f t="shared" si="5"/>
        <v>3.25</v>
      </c>
      <c r="T46" s="16">
        <f t="shared" si="4"/>
        <v>1.625</v>
      </c>
    </row>
    <row r="47" spans="2:20" x14ac:dyDescent="0.25">
      <c r="B47" s="16">
        <v>44</v>
      </c>
      <c r="C47" s="16" t="s">
        <v>218</v>
      </c>
      <c r="D47" s="17">
        <v>31.2</v>
      </c>
      <c r="E47" s="17">
        <v>2.2999999999999998</v>
      </c>
      <c r="F47" s="17">
        <v>2.6</v>
      </c>
      <c r="G47" s="16">
        <f t="shared" si="0"/>
        <v>71.759999999999991</v>
      </c>
      <c r="H47" s="36">
        <f t="shared" si="1"/>
        <v>0.82388059701492522</v>
      </c>
      <c r="I47" s="37">
        <v>0.4</v>
      </c>
      <c r="J47" s="38">
        <v>100</v>
      </c>
      <c r="K47" s="39">
        <v>0.8</v>
      </c>
      <c r="L47" s="16">
        <f t="shared" si="2"/>
        <v>0.32000000000000006</v>
      </c>
      <c r="M47" s="16" t="s">
        <v>101</v>
      </c>
      <c r="N47" s="16" t="s">
        <v>186</v>
      </c>
      <c r="O47" s="40">
        <v>3250</v>
      </c>
      <c r="P47" s="16">
        <f t="shared" si="3"/>
        <v>6.8999999999999977</v>
      </c>
      <c r="Q47" s="41">
        <v>10</v>
      </c>
      <c r="R47" s="16">
        <v>1.25</v>
      </c>
      <c r="S47" s="16">
        <f t="shared" si="5"/>
        <v>3.25</v>
      </c>
      <c r="T47" s="16">
        <f t="shared" si="4"/>
        <v>1.625</v>
      </c>
    </row>
    <row r="48" spans="2:20" x14ac:dyDescent="0.25">
      <c r="B48" s="16">
        <v>45</v>
      </c>
      <c r="C48" s="16" t="s">
        <v>219</v>
      </c>
      <c r="D48" s="17">
        <v>7.3</v>
      </c>
      <c r="E48" s="17">
        <v>1.4</v>
      </c>
      <c r="F48" s="17">
        <v>2.6</v>
      </c>
      <c r="G48" s="16">
        <f t="shared" si="0"/>
        <v>10.219999999999999</v>
      </c>
      <c r="H48" s="36">
        <f t="shared" si="1"/>
        <v>0.45181255526083114</v>
      </c>
      <c r="I48" s="37">
        <v>0.34</v>
      </c>
      <c r="J48" s="38">
        <v>100</v>
      </c>
      <c r="K48" s="39">
        <v>0.8</v>
      </c>
      <c r="L48" s="16">
        <f t="shared" si="2"/>
        <v>0.27200000000000002</v>
      </c>
      <c r="M48" s="16" t="s">
        <v>101</v>
      </c>
      <c r="N48" s="16" t="s">
        <v>186</v>
      </c>
      <c r="O48" s="40">
        <v>3250</v>
      </c>
      <c r="P48" s="16">
        <f t="shared" si="3"/>
        <v>1.1561085972850675</v>
      </c>
      <c r="Q48" s="41">
        <v>3</v>
      </c>
      <c r="R48" s="16">
        <v>1.25</v>
      </c>
      <c r="S48" s="16">
        <f t="shared" si="5"/>
        <v>3.25</v>
      </c>
      <c r="T48" s="16">
        <f t="shared" si="4"/>
        <v>1.625</v>
      </c>
    </row>
    <row r="49" spans="2:20" x14ac:dyDescent="0.25">
      <c r="B49" s="16">
        <v>46</v>
      </c>
      <c r="C49" s="16" t="s">
        <v>220</v>
      </c>
      <c r="D49" s="17">
        <v>4.7</v>
      </c>
      <c r="E49" s="17">
        <v>2.02</v>
      </c>
      <c r="F49" s="17">
        <v>2.6</v>
      </c>
      <c r="G49" s="16">
        <f t="shared" si="0"/>
        <v>9.4939999999999998</v>
      </c>
      <c r="H49" s="36">
        <f t="shared" si="1"/>
        <v>0.54338369963369959</v>
      </c>
      <c r="I49" s="37">
        <v>0.34</v>
      </c>
      <c r="J49" s="38">
        <v>100</v>
      </c>
      <c r="K49" s="39">
        <v>0.8</v>
      </c>
      <c r="L49" s="16">
        <f t="shared" si="2"/>
        <v>0.27200000000000002</v>
      </c>
      <c r="M49" s="16" t="s">
        <v>101</v>
      </c>
      <c r="N49" s="16" t="s">
        <v>186</v>
      </c>
      <c r="O49" s="40">
        <v>3250</v>
      </c>
      <c r="P49" s="16">
        <f t="shared" si="3"/>
        <v>1.0739819004524884</v>
      </c>
      <c r="Q49" s="41">
        <v>2</v>
      </c>
      <c r="R49" s="16">
        <v>1.25</v>
      </c>
      <c r="S49" s="16">
        <f t="shared" si="5"/>
        <v>3.25</v>
      </c>
      <c r="T49" s="16">
        <f t="shared" si="4"/>
        <v>1.625</v>
      </c>
    </row>
    <row r="50" spans="2:20" x14ac:dyDescent="0.25">
      <c r="B50" s="16">
        <v>47</v>
      </c>
      <c r="C50" s="16" t="s">
        <v>221</v>
      </c>
      <c r="D50" s="17">
        <v>31.2</v>
      </c>
      <c r="E50" s="17">
        <v>1.9</v>
      </c>
      <c r="F50" s="17">
        <v>2.6</v>
      </c>
      <c r="G50" s="16">
        <f t="shared" si="0"/>
        <v>59.279999999999994</v>
      </c>
      <c r="H50" s="36">
        <f t="shared" si="1"/>
        <v>0.68882175226586095</v>
      </c>
      <c r="I50" s="37">
        <v>0.34</v>
      </c>
      <c r="J50" s="38">
        <v>100</v>
      </c>
      <c r="K50" s="39">
        <v>0.8</v>
      </c>
      <c r="L50" s="16">
        <f t="shared" si="2"/>
        <v>0.27200000000000002</v>
      </c>
      <c r="M50" s="16" t="s">
        <v>101</v>
      </c>
      <c r="N50" s="16" t="s">
        <v>186</v>
      </c>
      <c r="O50" s="40">
        <v>3250</v>
      </c>
      <c r="P50" s="16">
        <f t="shared" si="3"/>
        <v>6.7058823529411749</v>
      </c>
      <c r="Q50" s="41">
        <v>10</v>
      </c>
      <c r="R50" s="16">
        <v>1.25</v>
      </c>
      <c r="S50" s="16">
        <f t="shared" si="5"/>
        <v>3.25</v>
      </c>
      <c r="T50" s="16">
        <f t="shared" si="4"/>
        <v>1.625</v>
      </c>
    </row>
    <row r="51" spans="2:20" x14ac:dyDescent="0.25">
      <c r="B51" s="16">
        <v>48</v>
      </c>
      <c r="C51" s="16" t="s">
        <v>222</v>
      </c>
      <c r="D51" s="17">
        <v>6.3</v>
      </c>
      <c r="E51" s="17">
        <v>1.5</v>
      </c>
      <c r="F51" s="17">
        <v>2.6</v>
      </c>
      <c r="G51" s="16">
        <f t="shared" si="0"/>
        <v>9.4499999999999993</v>
      </c>
      <c r="H51" s="36">
        <f t="shared" si="1"/>
        <v>0.46597633136094668</v>
      </c>
      <c r="I51" s="37">
        <v>0.34</v>
      </c>
      <c r="J51" s="38">
        <v>100</v>
      </c>
      <c r="K51" s="39">
        <v>0.8</v>
      </c>
      <c r="L51" s="16">
        <f t="shared" si="2"/>
        <v>0.27200000000000002</v>
      </c>
      <c r="M51" s="16" t="s">
        <v>101</v>
      </c>
      <c r="N51" s="16" t="s">
        <v>186</v>
      </c>
      <c r="O51" s="40">
        <v>3250</v>
      </c>
      <c r="P51" s="16">
        <f t="shared" si="3"/>
        <v>1.0690045248868776</v>
      </c>
      <c r="Q51" s="41">
        <v>2</v>
      </c>
      <c r="R51" s="16">
        <v>1.25</v>
      </c>
      <c r="S51" s="16">
        <f t="shared" si="5"/>
        <v>3.25</v>
      </c>
      <c r="T51" s="16">
        <f t="shared" si="4"/>
        <v>1.625</v>
      </c>
    </row>
  </sheetData>
  <mergeCells count="10">
    <mergeCell ref="I2:I3"/>
    <mergeCell ref="C2:C3"/>
    <mergeCell ref="B2:B3"/>
    <mergeCell ref="D1:P1"/>
    <mergeCell ref="T2:T3"/>
    <mergeCell ref="S2:S3"/>
    <mergeCell ref="R2:R3"/>
    <mergeCell ref="N2:N3"/>
    <mergeCell ref="M2:M3"/>
    <mergeCell ref="K2:K3"/>
  </mergeCells>
  <hyperlinks>
    <hyperlink ref="P2" r:id="rId1" xr:uid="{7C4BF72E-2A96-4960-9595-70347E21AEB1}"/>
    <hyperlink ref="H2" r:id="rId2" xr:uid="{78C37D15-0D78-47E0-B457-5105FBE5F646}"/>
    <hyperlink ref="O3" r:id="rId3" xr:uid="{D73F7AF2-8553-4592-AA81-65282B2E2831}"/>
    <hyperlink ref="M2" r:id="rId4" xr:uid="{A82A5652-B90F-41D4-A3E2-CE1E30E54A00}"/>
    <hyperlink ref="F2" r:id="rId5" xr:uid="{650D0D55-9DA1-44C5-965C-141BC9140E38}"/>
    <hyperlink ref="J2" r:id="rId6" xr:uid="{0CAB173B-69B2-40A6-A19D-F1727B12EFFB}"/>
  </hyperlinks>
  <pageMargins left="0.7" right="0.7" top="0.75" bottom="0.75" header="0.3" footer="0.3"/>
  <pageSetup paperSize="25" orientation="landscape"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8FCA-8275-4DEA-BFF9-0E8703F31B5F}">
  <dimension ref="B1:W37"/>
  <sheetViews>
    <sheetView topLeftCell="A13" zoomScale="130" zoomScaleNormal="130" workbookViewId="0">
      <selection activeCell="B2" sqref="B2:T37"/>
    </sheetView>
  </sheetViews>
  <sheetFormatPr defaultRowHeight="15" x14ac:dyDescent="0.25"/>
  <cols>
    <col min="2" max="2" width="3.28515625" bestFit="1" customWidth="1"/>
    <col min="3" max="3" width="29.5703125" bestFit="1" customWidth="1"/>
    <col min="4" max="4" width="6.7109375" bestFit="1" customWidth="1"/>
    <col min="5" max="5" width="6.140625" bestFit="1" customWidth="1"/>
    <col min="6" max="6" width="15.140625" bestFit="1" customWidth="1"/>
    <col min="7" max="7" width="10.85546875" bestFit="1" customWidth="1"/>
    <col min="8" max="8" width="10.7109375" bestFit="1" customWidth="1"/>
    <col min="9" max="9" width="5" bestFit="1" customWidth="1"/>
    <col min="10" max="10" width="14.42578125" bestFit="1" customWidth="1"/>
    <col min="11" max="11" width="4" bestFit="1" customWidth="1"/>
    <col min="12" max="12" width="11.7109375" bestFit="1" customWidth="1"/>
    <col min="13" max="13" width="10.28515625" bestFit="1" customWidth="1"/>
    <col min="14" max="14" width="21.28515625" bestFit="1" customWidth="1"/>
    <col min="15" max="15" width="14.28515625" bestFit="1" customWidth="1"/>
    <col min="16" max="16" width="12" bestFit="1" customWidth="1"/>
    <col min="17" max="17" width="13.7109375" bestFit="1" customWidth="1"/>
    <col min="18" max="18" width="9.42578125" bestFit="1" customWidth="1"/>
    <col min="19" max="20" width="7" bestFit="1" customWidth="1"/>
    <col min="22" max="22" width="21.42578125" bestFit="1" customWidth="1"/>
    <col min="23" max="23" width="12.42578125" bestFit="1" customWidth="1"/>
  </cols>
  <sheetData>
    <row r="1" spans="2:23" x14ac:dyDescent="0.25">
      <c r="D1" s="69" t="s">
        <v>0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2:23" x14ac:dyDescent="0.25">
      <c r="B2" s="72" t="s">
        <v>1</v>
      </c>
      <c r="C2" s="72" t="s">
        <v>118</v>
      </c>
      <c r="D2" s="11" t="s">
        <v>2</v>
      </c>
      <c r="E2" s="11" t="s">
        <v>3</v>
      </c>
      <c r="F2" s="34" t="s">
        <v>4</v>
      </c>
      <c r="G2" s="11" t="s">
        <v>5</v>
      </c>
      <c r="H2" s="34" t="s">
        <v>6</v>
      </c>
      <c r="I2" s="72" t="s">
        <v>7</v>
      </c>
      <c r="J2" s="34" t="s">
        <v>8</v>
      </c>
      <c r="K2" s="72" t="s">
        <v>9</v>
      </c>
      <c r="L2" s="11" t="s">
        <v>10</v>
      </c>
      <c r="M2" s="79" t="s">
        <v>11</v>
      </c>
      <c r="N2" s="72" t="s">
        <v>12</v>
      </c>
      <c r="O2" s="11" t="s">
        <v>13</v>
      </c>
      <c r="P2" s="34" t="s">
        <v>14</v>
      </c>
      <c r="Q2" s="11" t="s">
        <v>15</v>
      </c>
      <c r="R2" s="72" t="s">
        <v>106</v>
      </c>
      <c r="S2" s="72" t="s">
        <v>107</v>
      </c>
      <c r="T2" s="72" t="s">
        <v>115</v>
      </c>
      <c r="U2" s="32"/>
      <c r="V2" s="32"/>
      <c r="W2" s="32"/>
    </row>
    <row r="3" spans="2:23" x14ac:dyDescent="0.25">
      <c r="B3" s="73"/>
      <c r="C3" s="73"/>
      <c r="D3" s="11" t="s">
        <v>16</v>
      </c>
      <c r="E3" s="11" t="s">
        <v>17</v>
      </c>
      <c r="F3" s="11" t="s">
        <v>18</v>
      </c>
      <c r="G3" s="11" t="s">
        <v>19</v>
      </c>
      <c r="H3" s="11" t="s">
        <v>20</v>
      </c>
      <c r="I3" s="73"/>
      <c r="J3" s="11" t="s">
        <v>21</v>
      </c>
      <c r="K3" s="73"/>
      <c r="L3" s="11" t="s">
        <v>22</v>
      </c>
      <c r="M3" s="80"/>
      <c r="N3" s="73"/>
      <c r="O3" s="34" t="s">
        <v>121</v>
      </c>
      <c r="P3" s="11" t="s">
        <v>23</v>
      </c>
      <c r="Q3" s="11" t="s">
        <v>24</v>
      </c>
      <c r="R3" s="73"/>
      <c r="S3" s="73"/>
      <c r="T3" s="73"/>
      <c r="U3" s="32"/>
      <c r="V3" s="32"/>
      <c r="W3" s="32"/>
    </row>
    <row r="4" spans="2:23" x14ac:dyDescent="0.25">
      <c r="B4" s="1">
        <v>1</v>
      </c>
      <c r="C4" s="1" t="s">
        <v>210</v>
      </c>
      <c r="D4" s="3">
        <v>5.15</v>
      </c>
      <c r="E4" s="3">
        <v>3</v>
      </c>
      <c r="F4" s="3">
        <v>3.8</v>
      </c>
      <c r="G4" s="1">
        <f>D4*E4</f>
        <v>15.450000000000001</v>
      </c>
      <c r="H4" s="33">
        <f>G4/(F4*(D4+E4))</f>
        <v>0.49886987407168232</v>
      </c>
      <c r="I4" s="4">
        <v>0.34</v>
      </c>
      <c r="J4" s="5">
        <v>100</v>
      </c>
      <c r="K4" s="6">
        <v>0.8</v>
      </c>
      <c r="L4" s="1">
        <f>I4*K4</f>
        <v>0.27200000000000002</v>
      </c>
      <c r="M4" s="10" t="s">
        <v>101</v>
      </c>
      <c r="N4" s="1" t="s">
        <v>224</v>
      </c>
      <c r="O4" s="7">
        <v>3250</v>
      </c>
      <c r="P4" s="1">
        <f>(J4*G4)/(L4*O4)</f>
        <v>1.7477375565610858</v>
      </c>
      <c r="Q4" s="8">
        <v>3</v>
      </c>
      <c r="R4" s="1">
        <v>1.25</v>
      </c>
      <c r="S4" s="1">
        <f>R4*F4</f>
        <v>4.75</v>
      </c>
      <c r="T4" s="1">
        <f>S4/2</f>
        <v>2.375</v>
      </c>
      <c r="U4" s="32"/>
      <c r="V4" s="32"/>
      <c r="W4" s="32"/>
    </row>
    <row r="5" spans="2:23" x14ac:dyDescent="0.25">
      <c r="B5" s="1">
        <v>2</v>
      </c>
      <c r="C5" s="1" t="s">
        <v>208</v>
      </c>
      <c r="D5" s="3">
        <v>9</v>
      </c>
      <c r="E5" s="3">
        <v>6</v>
      </c>
      <c r="F5" s="3">
        <v>3.1</v>
      </c>
      <c r="G5" s="1">
        <f t="shared" ref="G5:G37" si="0">D5*E5</f>
        <v>54</v>
      </c>
      <c r="H5" s="33">
        <f t="shared" ref="H5:H37" si="1">G5/(F5*(D5+E5))</f>
        <v>1.1612903225806452</v>
      </c>
      <c r="I5" s="4">
        <v>0.42</v>
      </c>
      <c r="J5" s="5">
        <v>300</v>
      </c>
      <c r="K5" s="6">
        <v>0.8</v>
      </c>
      <c r="L5" s="1">
        <f t="shared" ref="L5:L36" si="2">I5*K5</f>
        <v>0.33600000000000002</v>
      </c>
      <c r="M5" s="10" t="s">
        <v>98</v>
      </c>
      <c r="N5" s="1" t="s">
        <v>225</v>
      </c>
      <c r="O5" s="7">
        <v>6500</v>
      </c>
      <c r="P5" s="1">
        <f t="shared" ref="P5:P37" si="3">(J5*G5)/(L5*O5)</f>
        <v>7.4175824175824179</v>
      </c>
      <c r="Q5" s="8">
        <v>8</v>
      </c>
      <c r="R5" s="1">
        <v>1.25</v>
      </c>
      <c r="S5" s="1">
        <f t="shared" ref="S5:S37" si="4">R5*F5</f>
        <v>3.875</v>
      </c>
      <c r="T5" s="1">
        <f t="shared" ref="T5:T37" si="5">S5/2</f>
        <v>1.9375</v>
      </c>
      <c r="U5" s="32"/>
      <c r="V5" s="32"/>
      <c r="W5" s="32"/>
    </row>
    <row r="6" spans="2:23" x14ac:dyDescent="0.25">
      <c r="B6" s="1">
        <v>3</v>
      </c>
      <c r="C6" s="1" t="s">
        <v>226</v>
      </c>
      <c r="D6" s="3">
        <v>6.3</v>
      </c>
      <c r="E6" s="3">
        <v>1.5</v>
      </c>
      <c r="F6" s="3">
        <v>2.6</v>
      </c>
      <c r="G6" s="1">
        <f t="shared" si="0"/>
        <v>9.4499999999999993</v>
      </c>
      <c r="H6" s="33">
        <f t="shared" si="1"/>
        <v>0.46597633136094668</v>
      </c>
      <c r="I6" s="4">
        <v>0.34</v>
      </c>
      <c r="J6" s="5">
        <v>100</v>
      </c>
      <c r="K6" s="6">
        <v>0.8</v>
      </c>
      <c r="L6" s="1">
        <f t="shared" si="2"/>
        <v>0.27200000000000002</v>
      </c>
      <c r="M6" s="10" t="s">
        <v>101</v>
      </c>
      <c r="N6" s="1" t="s">
        <v>224</v>
      </c>
      <c r="O6" s="7">
        <v>3250</v>
      </c>
      <c r="P6" s="1">
        <f t="shared" si="3"/>
        <v>1.0690045248868776</v>
      </c>
      <c r="Q6" s="8">
        <v>2</v>
      </c>
      <c r="R6" s="1">
        <v>1.25</v>
      </c>
      <c r="S6" s="1">
        <f t="shared" si="4"/>
        <v>3.25</v>
      </c>
      <c r="T6" s="1">
        <f t="shared" si="5"/>
        <v>1.625</v>
      </c>
      <c r="U6" s="32"/>
      <c r="V6" s="32"/>
      <c r="W6" s="32"/>
    </row>
    <row r="7" spans="2:23" x14ac:dyDescent="0.25">
      <c r="B7" s="1">
        <v>4</v>
      </c>
      <c r="C7" s="1" t="s">
        <v>227</v>
      </c>
      <c r="D7" s="3">
        <v>3.76</v>
      </c>
      <c r="E7" s="3">
        <v>6</v>
      </c>
      <c r="F7" s="3">
        <v>2.6</v>
      </c>
      <c r="G7" s="1">
        <f t="shared" si="0"/>
        <v>22.56</v>
      </c>
      <c r="H7" s="33">
        <f t="shared" si="1"/>
        <v>0.88902900378310201</v>
      </c>
      <c r="I7" s="4">
        <v>0.4</v>
      </c>
      <c r="J7" s="5">
        <v>100</v>
      </c>
      <c r="K7" s="6">
        <v>0.8</v>
      </c>
      <c r="L7" s="1">
        <f t="shared" si="2"/>
        <v>0.32000000000000006</v>
      </c>
      <c r="M7" s="10" t="s">
        <v>101</v>
      </c>
      <c r="N7" s="1" t="s">
        <v>224</v>
      </c>
      <c r="O7" s="7">
        <v>3250</v>
      </c>
      <c r="P7" s="1">
        <f t="shared" si="3"/>
        <v>2.1692307692307686</v>
      </c>
      <c r="Q7" s="8">
        <v>4</v>
      </c>
      <c r="R7" s="1">
        <v>1.25</v>
      </c>
      <c r="S7" s="1">
        <f t="shared" si="4"/>
        <v>3.25</v>
      </c>
      <c r="T7" s="1">
        <f t="shared" si="5"/>
        <v>1.625</v>
      </c>
      <c r="U7" s="32"/>
      <c r="V7" s="32"/>
      <c r="W7" s="32"/>
    </row>
    <row r="8" spans="2:23" x14ac:dyDescent="0.25">
      <c r="B8" s="1">
        <v>5</v>
      </c>
      <c r="C8" s="1" t="s">
        <v>228</v>
      </c>
      <c r="D8" s="3">
        <v>16.8</v>
      </c>
      <c r="E8" s="3">
        <v>2.1</v>
      </c>
      <c r="F8" s="3">
        <v>2.6</v>
      </c>
      <c r="G8" s="1">
        <f t="shared" si="0"/>
        <v>35.28</v>
      </c>
      <c r="H8" s="33">
        <f t="shared" si="1"/>
        <v>0.71794871794871784</v>
      </c>
      <c r="I8" s="4">
        <v>0.34</v>
      </c>
      <c r="J8" s="5">
        <v>100</v>
      </c>
      <c r="K8" s="6">
        <v>0.8</v>
      </c>
      <c r="L8" s="1">
        <f t="shared" si="2"/>
        <v>0.27200000000000002</v>
      </c>
      <c r="M8" s="10" t="s">
        <v>101</v>
      </c>
      <c r="N8" s="1" t="s">
        <v>224</v>
      </c>
      <c r="O8" s="7">
        <v>3250</v>
      </c>
      <c r="P8" s="1">
        <f t="shared" si="3"/>
        <v>3.9909502262443435</v>
      </c>
      <c r="Q8" s="8">
        <v>6</v>
      </c>
      <c r="R8" s="1">
        <v>1.25</v>
      </c>
      <c r="S8" s="1">
        <f t="shared" si="4"/>
        <v>3.25</v>
      </c>
      <c r="T8" s="1">
        <f t="shared" si="5"/>
        <v>1.625</v>
      </c>
      <c r="U8" s="32"/>
      <c r="V8" s="32"/>
      <c r="W8" s="32"/>
    </row>
    <row r="9" spans="2:23" x14ac:dyDescent="0.25">
      <c r="B9" s="1">
        <v>6</v>
      </c>
      <c r="C9" s="1" t="s">
        <v>229</v>
      </c>
      <c r="D9" s="3">
        <v>16.8</v>
      </c>
      <c r="E9" s="3">
        <v>1.6</v>
      </c>
      <c r="F9" s="3">
        <v>2.6</v>
      </c>
      <c r="G9" s="1">
        <f t="shared" si="0"/>
        <v>26.880000000000003</v>
      </c>
      <c r="H9" s="33">
        <f t="shared" si="1"/>
        <v>0.56187290969899661</v>
      </c>
      <c r="I9" s="4">
        <v>0.34</v>
      </c>
      <c r="J9" s="5">
        <v>100</v>
      </c>
      <c r="K9" s="6">
        <v>0.8</v>
      </c>
      <c r="L9" s="1">
        <f t="shared" si="2"/>
        <v>0.27200000000000002</v>
      </c>
      <c r="M9" s="10" t="s">
        <v>101</v>
      </c>
      <c r="N9" s="1" t="s">
        <v>224</v>
      </c>
      <c r="O9" s="7">
        <v>3250</v>
      </c>
      <c r="P9" s="1">
        <f t="shared" si="3"/>
        <v>3.0407239819004528</v>
      </c>
      <c r="Q9" s="8">
        <v>4</v>
      </c>
      <c r="R9" s="1">
        <v>1.25</v>
      </c>
      <c r="S9" s="1">
        <f t="shared" si="4"/>
        <v>3.25</v>
      </c>
      <c r="T9" s="1">
        <f t="shared" si="5"/>
        <v>1.625</v>
      </c>
      <c r="U9" s="32"/>
      <c r="V9" s="32"/>
      <c r="W9" s="32"/>
    </row>
    <row r="10" spans="2:23" x14ac:dyDescent="0.25">
      <c r="B10" s="1">
        <v>7</v>
      </c>
      <c r="C10" s="1" t="s">
        <v>230</v>
      </c>
      <c r="D10" s="3">
        <v>6</v>
      </c>
      <c r="E10" s="3">
        <v>4.5</v>
      </c>
      <c r="F10" s="3">
        <v>3.1</v>
      </c>
      <c r="G10" s="1">
        <f t="shared" si="0"/>
        <v>27</v>
      </c>
      <c r="H10" s="33">
        <f t="shared" si="1"/>
        <v>0.82949308755760354</v>
      </c>
      <c r="I10" s="4">
        <v>0.38</v>
      </c>
      <c r="J10" s="5">
        <v>300</v>
      </c>
      <c r="K10" s="6">
        <v>0.8</v>
      </c>
      <c r="L10" s="1">
        <f t="shared" si="2"/>
        <v>0.30400000000000005</v>
      </c>
      <c r="M10" s="10" t="s">
        <v>98</v>
      </c>
      <c r="N10" s="1" t="s">
        <v>225</v>
      </c>
      <c r="O10" s="7">
        <v>6500</v>
      </c>
      <c r="P10" s="1">
        <f t="shared" si="3"/>
        <v>4.0991902834008096</v>
      </c>
      <c r="Q10" s="8">
        <v>5</v>
      </c>
      <c r="R10" s="1">
        <v>1.25</v>
      </c>
      <c r="S10" s="1">
        <f t="shared" si="4"/>
        <v>3.875</v>
      </c>
      <c r="T10" s="1">
        <f t="shared" si="5"/>
        <v>1.9375</v>
      </c>
      <c r="U10" s="32"/>
      <c r="V10" s="32"/>
      <c r="W10" s="32"/>
    </row>
    <row r="11" spans="2:23" x14ac:dyDescent="0.25">
      <c r="B11" s="1">
        <v>8</v>
      </c>
      <c r="C11" s="1" t="s">
        <v>231</v>
      </c>
      <c r="D11" s="3">
        <v>4.55</v>
      </c>
      <c r="E11" s="3">
        <v>3</v>
      </c>
      <c r="F11" s="3">
        <v>3.1</v>
      </c>
      <c r="G11" s="1">
        <f t="shared" si="0"/>
        <v>13.649999999999999</v>
      </c>
      <c r="H11" s="33">
        <f t="shared" si="1"/>
        <v>0.5832087160863062</v>
      </c>
      <c r="I11" s="4">
        <v>0.32</v>
      </c>
      <c r="J11" s="5">
        <v>300</v>
      </c>
      <c r="K11" s="6">
        <v>0.8</v>
      </c>
      <c r="L11" s="1">
        <f t="shared" si="2"/>
        <v>0.25600000000000001</v>
      </c>
      <c r="M11" s="10" t="s">
        <v>98</v>
      </c>
      <c r="N11" s="1" t="s">
        <v>225</v>
      </c>
      <c r="O11" s="7">
        <v>6500</v>
      </c>
      <c r="P11" s="1">
        <f t="shared" si="3"/>
        <v>2.4609374999999996</v>
      </c>
      <c r="Q11" s="8">
        <v>3</v>
      </c>
      <c r="R11" s="1">
        <v>1.25</v>
      </c>
      <c r="S11" s="1">
        <f t="shared" si="4"/>
        <v>3.875</v>
      </c>
      <c r="T11" s="1">
        <f t="shared" si="5"/>
        <v>1.9375</v>
      </c>
      <c r="U11" s="32"/>
      <c r="V11" s="32"/>
      <c r="W11" s="32"/>
    </row>
    <row r="12" spans="2:23" x14ac:dyDescent="0.25">
      <c r="B12" s="1">
        <v>9</v>
      </c>
      <c r="C12" s="1" t="s">
        <v>232</v>
      </c>
      <c r="D12" s="3">
        <v>4.55</v>
      </c>
      <c r="E12" s="3">
        <v>3</v>
      </c>
      <c r="F12" s="3">
        <v>3.1</v>
      </c>
      <c r="G12" s="1">
        <f t="shared" si="0"/>
        <v>13.649999999999999</v>
      </c>
      <c r="H12" s="33">
        <f t="shared" si="1"/>
        <v>0.5832087160863062</v>
      </c>
      <c r="I12" s="4">
        <v>0.32</v>
      </c>
      <c r="J12" s="5">
        <v>300</v>
      </c>
      <c r="K12" s="6">
        <v>0.8</v>
      </c>
      <c r="L12" s="1">
        <f t="shared" si="2"/>
        <v>0.25600000000000001</v>
      </c>
      <c r="M12" s="10" t="s">
        <v>98</v>
      </c>
      <c r="N12" s="1" t="s">
        <v>225</v>
      </c>
      <c r="O12" s="7">
        <v>6500</v>
      </c>
      <c r="P12" s="1">
        <f t="shared" si="3"/>
        <v>2.4609374999999996</v>
      </c>
      <c r="Q12" s="8">
        <v>3</v>
      </c>
      <c r="R12" s="1">
        <v>1.25</v>
      </c>
      <c r="S12" s="1">
        <f t="shared" si="4"/>
        <v>3.875</v>
      </c>
      <c r="T12" s="1">
        <f t="shared" si="5"/>
        <v>1.9375</v>
      </c>
      <c r="U12" s="32"/>
      <c r="V12" s="32"/>
      <c r="W12" s="32" t="s">
        <v>114</v>
      </c>
    </row>
    <row r="13" spans="2:23" x14ac:dyDescent="0.25">
      <c r="B13" s="1">
        <v>10</v>
      </c>
      <c r="C13" s="1" t="s">
        <v>233</v>
      </c>
      <c r="D13" s="3">
        <v>4.55</v>
      </c>
      <c r="E13" s="3">
        <v>1.5</v>
      </c>
      <c r="F13" s="3">
        <v>3.1</v>
      </c>
      <c r="G13" s="1">
        <f t="shared" si="0"/>
        <v>6.8249999999999993</v>
      </c>
      <c r="H13" s="33">
        <f t="shared" si="1"/>
        <v>0.36390295921087706</v>
      </c>
      <c r="I13" s="4">
        <v>0.32</v>
      </c>
      <c r="J13" s="5">
        <v>300</v>
      </c>
      <c r="K13" s="6">
        <v>0.8</v>
      </c>
      <c r="L13" s="1">
        <f t="shared" si="2"/>
        <v>0.25600000000000001</v>
      </c>
      <c r="M13" s="10" t="s">
        <v>98</v>
      </c>
      <c r="N13" s="1" t="s">
        <v>225</v>
      </c>
      <c r="O13" s="7">
        <v>6500</v>
      </c>
      <c r="P13" s="1">
        <f t="shared" si="3"/>
        <v>1.2304687499999998</v>
      </c>
      <c r="Q13" s="8">
        <v>2</v>
      </c>
      <c r="R13" s="1">
        <v>1.25</v>
      </c>
      <c r="S13" s="1">
        <f t="shared" si="4"/>
        <v>3.875</v>
      </c>
      <c r="T13" s="1">
        <f t="shared" si="5"/>
        <v>1.9375</v>
      </c>
      <c r="U13" s="32"/>
      <c r="V13" s="1" t="s">
        <v>224</v>
      </c>
      <c r="W13" s="32">
        <f>SUMIFS(Q4:Q37,N4:N37,N4)</f>
        <v>61</v>
      </c>
    </row>
    <row r="14" spans="2:23" x14ac:dyDescent="0.25">
      <c r="B14" s="1">
        <v>11</v>
      </c>
      <c r="C14" s="1" t="s">
        <v>234</v>
      </c>
      <c r="D14" s="3">
        <v>4.5</v>
      </c>
      <c r="E14" s="3">
        <v>3</v>
      </c>
      <c r="F14" s="3">
        <v>3.1</v>
      </c>
      <c r="G14" s="1">
        <f t="shared" si="0"/>
        <v>13.5</v>
      </c>
      <c r="H14" s="33">
        <f t="shared" si="1"/>
        <v>0.58064516129032262</v>
      </c>
      <c r="I14" s="4">
        <v>0.32</v>
      </c>
      <c r="J14" s="5">
        <v>300</v>
      </c>
      <c r="K14" s="6">
        <v>0.8</v>
      </c>
      <c r="L14" s="1">
        <f t="shared" si="2"/>
        <v>0.25600000000000001</v>
      </c>
      <c r="M14" s="10" t="s">
        <v>98</v>
      </c>
      <c r="N14" s="1" t="s">
        <v>225</v>
      </c>
      <c r="O14" s="7">
        <v>6500</v>
      </c>
      <c r="P14" s="1">
        <f t="shared" si="3"/>
        <v>2.4338942307692308</v>
      </c>
      <c r="Q14" s="8">
        <v>3</v>
      </c>
      <c r="R14" s="1">
        <v>1.25</v>
      </c>
      <c r="S14" s="1">
        <f t="shared" si="4"/>
        <v>3.875</v>
      </c>
      <c r="T14" s="1">
        <f t="shared" si="5"/>
        <v>1.9375</v>
      </c>
      <c r="U14" s="32"/>
      <c r="V14" s="1" t="s">
        <v>225</v>
      </c>
      <c r="W14" s="32">
        <f>SUMIFS(Q4:Q37,N4:N37,N10)</f>
        <v>76</v>
      </c>
    </row>
    <row r="15" spans="2:23" x14ac:dyDescent="0.25">
      <c r="B15" s="1">
        <v>12</v>
      </c>
      <c r="C15" s="1" t="s">
        <v>235</v>
      </c>
      <c r="D15" s="3">
        <v>6</v>
      </c>
      <c r="E15" s="3">
        <v>4.5</v>
      </c>
      <c r="F15" s="3">
        <v>3.1</v>
      </c>
      <c r="G15" s="1">
        <f t="shared" si="0"/>
        <v>27</v>
      </c>
      <c r="H15" s="33">
        <f t="shared" si="1"/>
        <v>0.82949308755760354</v>
      </c>
      <c r="I15" s="4">
        <v>0.38</v>
      </c>
      <c r="J15" s="5">
        <v>300</v>
      </c>
      <c r="K15" s="6">
        <v>0.8</v>
      </c>
      <c r="L15" s="1">
        <f t="shared" si="2"/>
        <v>0.30400000000000005</v>
      </c>
      <c r="M15" s="10" t="s">
        <v>98</v>
      </c>
      <c r="N15" s="1" t="s">
        <v>225</v>
      </c>
      <c r="O15" s="7">
        <v>6500</v>
      </c>
      <c r="P15" s="1">
        <f t="shared" si="3"/>
        <v>4.0991902834008096</v>
      </c>
      <c r="Q15" s="8">
        <v>5</v>
      </c>
      <c r="R15" s="1">
        <v>1.25</v>
      </c>
      <c r="S15" s="1">
        <f t="shared" si="4"/>
        <v>3.875</v>
      </c>
      <c r="T15" s="1">
        <f t="shared" si="5"/>
        <v>1.9375</v>
      </c>
      <c r="U15" s="32"/>
      <c r="V15" s="32"/>
      <c r="W15" s="32"/>
    </row>
    <row r="16" spans="2:23" x14ac:dyDescent="0.25">
      <c r="B16" s="1">
        <v>13</v>
      </c>
      <c r="C16" s="1" t="s">
        <v>236</v>
      </c>
      <c r="D16" s="3">
        <v>3</v>
      </c>
      <c r="E16" s="3">
        <v>4.5</v>
      </c>
      <c r="F16" s="3">
        <v>3.1</v>
      </c>
      <c r="G16" s="1">
        <f t="shared" si="0"/>
        <v>13.5</v>
      </c>
      <c r="H16" s="33">
        <f t="shared" si="1"/>
        <v>0.58064516129032262</v>
      </c>
      <c r="I16" s="4">
        <v>0.32</v>
      </c>
      <c r="J16" s="5">
        <v>300</v>
      </c>
      <c r="K16" s="6">
        <v>0.8</v>
      </c>
      <c r="L16" s="1">
        <f t="shared" si="2"/>
        <v>0.25600000000000001</v>
      </c>
      <c r="M16" s="10" t="s">
        <v>98</v>
      </c>
      <c r="N16" s="1" t="s">
        <v>225</v>
      </c>
      <c r="O16" s="7">
        <v>6500</v>
      </c>
      <c r="P16" s="1">
        <f t="shared" si="3"/>
        <v>2.4338942307692308</v>
      </c>
      <c r="Q16" s="8">
        <v>3</v>
      </c>
      <c r="R16" s="1">
        <v>1.25</v>
      </c>
      <c r="S16" s="1">
        <f t="shared" si="4"/>
        <v>3.875</v>
      </c>
      <c r="T16" s="1">
        <f t="shared" si="5"/>
        <v>1.9375</v>
      </c>
      <c r="U16" s="32"/>
      <c r="V16" s="32"/>
      <c r="W16" s="32"/>
    </row>
    <row r="17" spans="2:23" x14ac:dyDescent="0.25">
      <c r="B17" s="1">
        <v>14</v>
      </c>
      <c r="C17" s="1" t="s">
        <v>237</v>
      </c>
      <c r="D17" s="3">
        <v>3</v>
      </c>
      <c r="E17" s="3">
        <v>4.5</v>
      </c>
      <c r="F17" s="3">
        <v>3.1</v>
      </c>
      <c r="G17" s="1">
        <f t="shared" si="0"/>
        <v>13.5</v>
      </c>
      <c r="H17" s="33">
        <f t="shared" si="1"/>
        <v>0.58064516129032262</v>
      </c>
      <c r="I17" s="4">
        <v>0.32</v>
      </c>
      <c r="J17" s="5">
        <v>300</v>
      </c>
      <c r="K17" s="6">
        <v>0.8</v>
      </c>
      <c r="L17" s="1">
        <f t="shared" si="2"/>
        <v>0.25600000000000001</v>
      </c>
      <c r="M17" s="10" t="s">
        <v>98</v>
      </c>
      <c r="N17" s="1" t="s">
        <v>225</v>
      </c>
      <c r="O17" s="7">
        <v>6500</v>
      </c>
      <c r="P17" s="1">
        <f t="shared" si="3"/>
        <v>2.4338942307692308</v>
      </c>
      <c r="Q17" s="8">
        <v>3</v>
      </c>
      <c r="R17" s="1">
        <v>1.25</v>
      </c>
      <c r="S17" s="1">
        <f t="shared" si="4"/>
        <v>3.875</v>
      </c>
      <c r="T17" s="1">
        <f t="shared" si="5"/>
        <v>1.9375</v>
      </c>
      <c r="U17" s="32"/>
      <c r="V17" s="32"/>
      <c r="W17" s="32"/>
    </row>
    <row r="18" spans="2:23" x14ac:dyDescent="0.25">
      <c r="B18" s="1">
        <v>15</v>
      </c>
      <c r="C18" s="1" t="s">
        <v>238</v>
      </c>
      <c r="D18" s="3">
        <v>4.45</v>
      </c>
      <c r="E18" s="3">
        <v>4.5</v>
      </c>
      <c r="F18" s="3">
        <v>3.1</v>
      </c>
      <c r="G18" s="1">
        <f t="shared" si="0"/>
        <v>20.025000000000002</v>
      </c>
      <c r="H18" s="33">
        <f t="shared" si="1"/>
        <v>0.7217516669670212</v>
      </c>
      <c r="I18" s="4">
        <v>0.32</v>
      </c>
      <c r="J18" s="5">
        <v>300</v>
      </c>
      <c r="K18" s="6">
        <v>0.8</v>
      </c>
      <c r="L18" s="1">
        <f t="shared" si="2"/>
        <v>0.25600000000000001</v>
      </c>
      <c r="M18" s="10" t="s">
        <v>98</v>
      </c>
      <c r="N18" s="1" t="s">
        <v>225</v>
      </c>
      <c r="O18" s="7">
        <v>6500</v>
      </c>
      <c r="P18" s="1">
        <f t="shared" si="3"/>
        <v>3.610276442307693</v>
      </c>
      <c r="Q18" s="8">
        <v>4</v>
      </c>
      <c r="R18" s="1">
        <v>1.25</v>
      </c>
      <c r="S18" s="1">
        <f t="shared" si="4"/>
        <v>3.875</v>
      </c>
      <c r="T18" s="1">
        <f t="shared" si="5"/>
        <v>1.9375</v>
      </c>
      <c r="U18" s="32"/>
      <c r="V18" s="32"/>
      <c r="W18" s="32"/>
    </row>
    <row r="19" spans="2:23" x14ac:dyDescent="0.25">
      <c r="B19" s="1">
        <v>16</v>
      </c>
      <c r="C19" s="1" t="s">
        <v>239</v>
      </c>
      <c r="D19" s="3">
        <v>6.1</v>
      </c>
      <c r="E19" s="3">
        <v>5.0999999999999996</v>
      </c>
      <c r="F19" s="3">
        <v>3.8</v>
      </c>
      <c r="G19" s="1">
        <f t="shared" si="0"/>
        <v>31.109999999999996</v>
      </c>
      <c r="H19" s="33">
        <f t="shared" si="1"/>
        <v>0.73096804511278191</v>
      </c>
      <c r="I19" s="4">
        <v>0.32</v>
      </c>
      <c r="J19" s="5">
        <v>300</v>
      </c>
      <c r="K19" s="6">
        <v>0.8</v>
      </c>
      <c r="L19" s="1">
        <f t="shared" si="2"/>
        <v>0.25600000000000001</v>
      </c>
      <c r="M19" s="10" t="s">
        <v>98</v>
      </c>
      <c r="N19" s="1" t="s">
        <v>225</v>
      </c>
      <c r="O19" s="7">
        <v>6500</v>
      </c>
      <c r="P19" s="1">
        <f t="shared" si="3"/>
        <v>5.6087740384615374</v>
      </c>
      <c r="Q19" s="8">
        <v>6</v>
      </c>
      <c r="R19" s="1">
        <v>1.25</v>
      </c>
      <c r="S19" s="1">
        <f t="shared" si="4"/>
        <v>4.75</v>
      </c>
      <c r="T19" s="1">
        <f t="shared" si="5"/>
        <v>2.375</v>
      </c>
      <c r="U19" s="32"/>
      <c r="V19" s="32"/>
      <c r="W19" s="32"/>
    </row>
    <row r="20" spans="2:23" x14ac:dyDescent="0.25">
      <c r="B20" s="1">
        <v>17</v>
      </c>
      <c r="C20" s="1" t="s">
        <v>240</v>
      </c>
      <c r="D20" s="3">
        <v>4.3</v>
      </c>
      <c r="E20" s="3">
        <v>1.3</v>
      </c>
      <c r="F20" s="3">
        <v>2.6</v>
      </c>
      <c r="G20" s="1">
        <f t="shared" si="0"/>
        <v>5.59</v>
      </c>
      <c r="H20" s="33">
        <f t="shared" si="1"/>
        <v>0.38392857142857145</v>
      </c>
      <c r="I20" s="4">
        <v>0.34</v>
      </c>
      <c r="J20" s="5">
        <v>100</v>
      </c>
      <c r="K20" s="6">
        <v>0.8</v>
      </c>
      <c r="L20" s="1">
        <f t="shared" si="2"/>
        <v>0.27200000000000002</v>
      </c>
      <c r="M20" s="10" t="s">
        <v>101</v>
      </c>
      <c r="N20" s="1" t="s">
        <v>224</v>
      </c>
      <c r="O20" s="7">
        <v>3250</v>
      </c>
      <c r="P20" s="1">
        <f t="shared" si="3"/>
        <v>0.63235294117647056</v>
      </c>
      <c r="Q20" s="8">
        <v>1</v>
      </c>
      <c r="R20" s="1">
        <v>1.25</v>
      </c>
      <c r="S20" s="1">
        <f t="shared" si="4"/>
        <v>3.25</v>
      </c>
      <c r="T20" s="1">
        <f t="shared" si="5"/>
        <v>1.625</v>
      </c>
      <c r="U20" s="32"/>
      <c r="V20" s="32"/>
      <c r="W20" s="32"/>
    </row>
    <row r="21" spans="2:23" x14ac:dyDescent="0.25">
      <c r="B21" s="1">
        <v>18</v>
      </c>
      <c r="C21" s="1" t="s">
        <v>241</v>
      </c>
      <c r="D21" s="3">
        <v>11.7</v>
      </c>
      <c r="E21" s="3">
        <v>1.9</v>
      </c>
      <c r="F21" s="3">
        <v>2.6</v>
      </c>
      <c r="G21" s="1">
        <f t="shared" si="0"/>
        <v>22.229999999999997</v>
      </c>
      <c r="H21" s="33">
        <f t="shared" si="1"/>
        <v>0.62867647058823517</v>
      </c>
      <c r="I21" s="4">
        <v>0.34</v>
      </c>
      <c r="J21" s="5">
        <v>100</v>
      </c>
      <c r="K21" s="6">
        <v>0.8</v>
      </c>
      <c r="L21" s="1">
        <f t="shared" si="2"/>
        <v>0.27200000000000002</v>
      </c>
      <c r="M21" s="10" t="s">
        <v>101</v>
      </c>
      <c r="N21" s="1" t="s">
        <v>224</v>
      </c>
      <c r="O21" s="7">
        <v>3250</v>
      </c>
      <c r="P21" s="1">
        <f t="shared" si="3"/>
        <v>2.5147058823529402</v>
      </c>
      <c r="Q21" s="8">
        <v>4</v>
      </c>
      <c r="R21" s="1">
        <v>1.25</v>
      </c>
      <c r="S21" s="1">
        <f t="shared" si="4"/>
        <v>3.25</v>
      </c>
      <c r="T21" s="1">
        <f t="shared" si="5"/>
        <v>1.625</v>
      </c>
      <c r="U21" s="32"/>
      <c r="V21" s="32"/>
      <c r="W21" s="32"/>
    </row>
    <row r="22" spans="2:23" x14ac:dyDescent="0.25">
      <c r="B22" s="1">
        <v>19</v>
      </c>
      <c r="C22" s="1" t="s">
        <v>198</v>
      </c>
      <c r="D22" s="3">
        <v>5</v>
      </c>
      <c r="E22" s="3">
        <v>3.3</v>
      </c>
      <c r="F22" s="3">
        <v>3.8</v>
      </c>
      <c r="G22" s="1">
        <f t="shared" si="0"/>
        <v>16.5</v>
      </c>
      <c r="H22" s="33">
        <f t="shared" si="1"/>
        <v>0.52314521242866197</v>
      </c>
      <c r="I22" s="4">
        <v>0.34</v>
      </c>
      <c r="J22" s="5">
        <v>100</v>
      </c>
      <c r="K22" s="6">
        <v>0.8</v>
      </c>
      <c r="L22" s="1">
        <f t="shared" si="2"/>
        <v>0.27200000000000002</v>
      </c>
      <c r="M22" s="10" t="s">
        <v>101</v>
      </c>
      <c r="N22" s="1" t="s">
        <v>224</v>
      </c>
      <c r="O22" s="7">
        <v>3250</v>
      </c>
      <c r="P22" s="1">
        <f t="shared" si="3"/>
        <v>1.8665158371040722</v>
      </c>
      <c r="Q22" s="8">
        <v>3</v>
      </c>
      <c r="R22" s="1">
        <v>1.25</v>
      </c>
      <c r="S22" s="1">
        <f t="shared" si="4"/>
        <v>4.75</v>
      </c>
      <c r="T22" s="1">
        <f t="shared" si="5"/>
        <v>2.375</v>
      </c>
      <c r="U22" s="32"/>
      <c r="V22" s="32"/>
      <c r="W22" s="32"/>
    </row>
    <row r="23" spans="2:23" x14ac:dyDescent="0.25">
      <c r="B23" s="1">
        <v>20</v>
      </c>
      <c r="C23" s="1" t="s">
        <v>242</v>
      </c>
      <c r="D23" s="3">
        <v>4.28</v>
      </c>
      <c r="E23" s="3">
        <v>1.36</v>
      </c>
      <c r="F23" s="3">
        <v>2.6</v>
      </c>
      <c r="G23" s="1">
        <f t="shared" si="0"/>
        <v>5.8208000000000011</v>
      </c>
      <c r="H23" s="33">
        <f t="shared" si="1"/>
        <v>0.3969448990725587</v>
      </c>
      <c r="I23" s="4">
        <v>0.34</v>
      </c>
      <c r="J23" s="5">
        <v>100</v>
      </c>
      <c r="K23" s="6">
        <v>0.8</v>
      </c>
      <c r="L23" s="1">
        <f t="shared" si="2"/>
        <v>0.27200000000000002</v>
      </c>
      <c r="M23" s="10" t="s">
        <v>101</v>
      </c>
      <c r="N23" s="1" t="s">
        <v>224</v>
      </c>
      <c r="O23" s="7">
        <v>3250</v>
      </c>
      <c r="P23" s="1">
        <f t="shared" si="3"/>
        <v>0.65846153846153854</v>
      </c>
      <c r="Q23" s="8">
        <v>2</v>
      </c>
      <c r="R23" s="1">
        <v>1.25</v>
      </c>
      <c r="S23" s="1">
        <f t="shared" si="4"/>
        <v>3.25</v>
      </c>
      <c r="T23" s="1">
        <f t="shared" si="5"/>
        <v>1.625</v>
      </c>
      <c r="U23" s="32"/>
      <c r="V23" s="32"/>
      <c r="W23" s="32"/>
    </row>
    <row r="24" spans="2:23" x14ac:dyDescent="0.25">
      <c r="B24" s="1">
        <v>21</v>
      </c>
      <c r="C24" s="1" t="s">
        <v>243</v>
      </c>
      <c r="D24" s="3">
        <v>6.1</v>
      </c>
      <c r="E24" s="3">
        <v>5</v>
      </c>
      <c r="F24" s="3">
        <v>3.1</v>
      </c>
      <c r="G24" s="1">
        <f t="shared" si="0"/>
        <v>30.5</v>
      </c>
      <c r="H24" s="33">
        <f t="shared" si="1"/>
        <v>0.88637024120895103</v>
      </c>
      <c r="I24" s="4">
        <v>0.4</v>
      </c>
      <c r="J24" s="5">
        <v>100</v>
      </c>
      <c r="K24" s="6">
        <v>0.8</v>
      </c>
      <c r="L24" s="1">
        <f t="shared" si="2"/>
        <v>0.32000000000000006</v>
      </c>
      <c r="M24" s="10" t="s">
        <v>101</v>
      </c>
      <c r="N24" s="1" t="s">
        <v>224</v>
      </c>
      <c r="O24" s="7">
        <v>3250</v>
      </c>
      <c r="P24" s="1">
        <f t="shared" si="3"/>
        <v>2.932692307692307</v>
      </c>
      <c r="Q24" s="8">
        <v>8</v>
      </c>
      <c r="R24" s="1">
        <v>1.25</v>
      </c>
      <c r="S24" s="1">
        <f t="shared" si="4"/>
        <v>3.875</v>
      </c>
      <c r="T24" s="1">
        <f t="shared" si="5"/>
        <v>1.9375</v>
      </c>
      <c r="U24" s="32"/>
      <c r="V24" s="32"/>
      <c r="W24" s="32"/>
    </row>
    <row r="25" spans="2:23" x14ac:dyDescent="0.25">
      <c r="B25" s="1">
        <v>22</v>
      </c>
      <c r="C25" s="1" t="s">
        <v>191</v>
      </c>
      <c r="D25" s="3">
        <v>5.15</v>
      </c>
      <c r="E25" s="3">
        <v>3</v>
      </c>
      <c r="F25" s="3">
        <v>3.8</v>
      </c>
      <c r="G25" s="1">
        <f t="shared" si="0"/>
        <v>15.450000000000001</v>
      </c>
      <c r="H25" s="33">
        <f t="shared" si="1"/>
        <v>0.49886987407168232</v>
      </c>
      <c r="I25" s="4">
        <v>0.34</v>
      </c>
      <c r="J25" s="5">
        <v>100</v>
      </c>
      <c r="K25" s="6">
        <v>0.8</v>
      </c>
      <c r="L25" s="1">
        <f t="shared" si="2"/>
        <v>0.27200000000000002</v>
      </c>
      <c r="M25" s="10" t="s">
        <v>101</v>
      </c>
      <c r="N25" s="1" t="s">
        <v>224</v>
      </c>
      <c r="O25" s="7">
        <v>3250</v>
      </c>
      <c r="P25" s="1">
        <f t="shared" si="3"/>
        <v>1.7477375565610858</v>
      </c>
      <c r="Q25" s="8">
        <v>3</v>
      </c>
      <c r="R25" s="1">
        <v>1.25</v>
      </c>
      <c r="S25" s="1">
        <f t="shared" si="4"/>
        <v>4.75</v>
      </c>
      <c r="T25" s="1">
        <f t="shared" si="5"/>
        <v>2.375</v>
      </c>
      <c r="U25" s="32"/>
      <c r="V25" s="32"/>
      <c r="W25" s="32"/>
    </row>
    <row r="26" spans="2:23" x14ac:dyDescent="0.25">
      <c r="B26" s="1">
        <v>23</v>
      </c>
      <c r="C26" s="1" t="s">
        <v>244</v>
      </c>
      <c r="D26" s="3">
        <v>5.0999999999999996</v>
      </c>
      <c r="E26" s="3">
        <v>1.8</v>
      </c>
      <c r="F26" s="3">
        <v>2.6</v>
      </c>
      <c r="G26" s="1">
        <f t="shared" si="0"/>
        <v>9.18</v>
      </c>
      <c r="H26" s="33">
        <f t="shared" si="1"/>
        <v>0.5117056856187292</v>
      </c>
      <c r="I26" s="4">
        <v>0.34</v>
      </c>
      <c r="J26" s="5">
        <v>100</v>
      </c>
      <c r="K26" s="6">
        <v>0.8</v>
      </c>
      <c r="L26" s="1">
        <f t="shared" si="2"/>
        <v>0.27200000000000002</v>
      </c>
      <c r="M26" s="10" t="s">
        <v>101</v>
      </c>
      <c r="N26" s="1" t="s">
        <v>224</v>
      </c>
      <c r="O26" s="7">
        <v>3250</v>
      </c>
      <c r="P26" s="1">
        <f t="shared" si="3"/>
        <v>1.0384615384615383</v>
      </c>
      <c r="Q26" s="8">
        <v>2</v>
      </c>
      <c r="R26" s="1">
        <v>1.25</v>
      </c>
      <c r="S26" s="1">
        <f t="shared" si="4"/>
        <v>3.25</v>
      </c>
      <c r="T26" s="1">
        <f t="shared" si="5"/>
        <v>1.625</v>
      </c>
      <c r="U26" s="32"/>
      <c r="V26" s="32"/>
      <c r="W26" s="32"/>
    </row>
    <row r="27" spans="2:23" x14ac:dyDescent="0.25">
      <c r="B27" s="1">
        <v>24</v>
      </c>
      <c r="C27" s="1" t="s">
        <v>245</v>
      </c>
      <c r="D27" s="3">
        <v>6.1</v>
      </c>
      <c r="E27" s="3">
        <v>3.8</v>
      </c>
      <c r="F27" s="3">
        <v>2.6</v>
      </c>
      <c r="G27" s="1">
        <f t="shared" si="0"/>
        <v>23.179999999999996</v>
      </c>
      <c r="H27" s="33">
        <f t="shared" si="1"/>
        <v>0.90054390054390043</v>
      </c>
      <c r="I27" s="4">
        <v>0.4</v>
      </c>
      <c r="J27" s="5">
        <v>100</v>
      </c>
      <c r="K27" s="6">
        <v>0.8</v>
      </c>
      <c r="L27" s="1">
        <f t="shared" si="2"/>
        <v>0.32000000000000006</v>
      </c>
      <c r="M27" s="10" t="s">
        <v>101</v>
      </c>
      <c r="N27" s="1" t="s">
        <v>224</v>
      </c>
      <c r="O27" s="7">
        <v>3250</v>
      </c>
      <c r="P27" s="1">
        <f t="shared" si="3"/>
        <v>2.228846153846153</v>
      </c>
      <c r="Q27" s="8">
        <v>4</v>
      </c>
      <c r="R27" s="1">
        <v>1.25</v>
      </c>
      <c r="S27" s="1">
        <f t="shared" si="4"/>
        <v>3.25</v>
      </c>
      <c r="T27" s="1">
        <f t="shared" si="5"/>
        <v>1.625</v>
      </c>
      <c r="U27" s="32"/>
      <c r="V27" s="32"/>
      <c r="W27" s="32"/>
    </row>
    <row r="28" spans="2:23" x14ac:dyDescent="0.25">
      <c r="B28" s="1">
        <v>25</v>
      </c>
      <c r="C28" s="1" t="s">
        <v>246</v>
      </c>
      <c r="D28" s="3">
        <v>6.4</v>
      </c>
      <c r="E28" s="3">
        <v>1.4</v>
      </c>
      <c r="F28" s="3">
        <v>2.6</v>
      </c>
      <c r="G28" s="1">
        <f t="shared" si="0"/>
        <v>8.9599999999999991</v>
      </c>
      <c r="H28" s="33">
        <f t="shared" si="1"/>
        <v>0.44181459566074943</v>
      </c>
      <c r="I28" s="4">
        <v>0.34</v>
      </c>
      <c r="J28" s="5">
        <v>100</v>
      </c>
      <c r="K28" s="6">
        <v>0.8</v>
      </c>
      <c r="L28" s="1">
        <f t="shared" si="2"/>
        <v>0.27200000000000002</v>
      </c>
      <c r="M28" s="10" t="s">
        <v>101</v>
      </c>
      <c r="N28" s="1" t="s">
        <v>224</v>
      </c>
      <c r="O28" s="7">
        <v>3250</v>
      </c>
      <c r="P28" s="1">
        <f t="shared" si="3"/>
        <v>1.0135746606334839</v>
      </c>
      <c r="Q28" s="8">
        <v>2</v>
      </c>
      <c r="R28" s="1">
        <v>1.25</v>
      </c>
      <c r="S28" s="1">
        <f t="shared" si="4"/>
        <v>3.25</v>
      </c>
      <c r="T28" s="1">
        <f t="shared" si="5"/>
        <v>1.625</v>
      </c>
      <c r="U28" s="32"/>
      <c r="V28" s="32"/>
      <c r="W28" s="32"/>
    </row>
    <row r="29" spans="2:23" x14ac:dyDescent="0.25">
      <c r="B29" s="1">
        <v>26</v>
      </c>
      <c r="C29" s="1" t="s">
        <v>247</v>
      </c>
      <c r="D29" s="3">
        <v>15.1</v>
      </c>
      <c r="E29" s="3">
        <v>1.6</v>
      </c>
      <c r="F29" s="3">
        <v>2.6</v>
      </c>
      <c r="G29" s="1">
        <f t="shared" si="0"/>
        <v>24.16</v>
      </c>
      <c r="H29" s="33">
        <f t="shared" si="1"/>
        <v>0.55642561031782589</v>
      </c>
      <c r="I29" s="4">
        <v>0.34</v>
      </c>
      <c r="J29" s="5">
        <v>100</v>
      </c>
      <c r="K29" s="6">
        <v>0.8</v>
      </c>
      <c r="L29" s="1">
        <f t="shared" si="2"/>
        <v>0.27200000000000002</v>
      </c>
      <c r="M29" s="10" t="s">
        <v>101</v>
      </c>
      <c r="N29" s="1" t="s">
        <v>224</v>
      </c>
      <c r="O29" s="7">
        <v>3250</v>
      </c>
      <c r="P29" s="1">
        <f t="shared" si="3"/>
        <v>2.7330316742081444</v>
      </c>
      <c r="Q29" s="8">
        <v>5</v>
      </c>
      <c r="R29" s="1">
        <v>1.25</v>
      </c>
      <c r="S29" s="1">
        <f t="shared" si="4"/>
        <v>3.25</v>
      </c>
      <c r="T29" s="1">
        <f t="shared" si="5"/>
        <v>1.625</v>
      </c>
      <c r="U29" s="32"/>
      <c r="V29" s="32"/>
      <c r="W29" s="32"/>
    </row>
    <row r="30" spans="2:23" x14ac:dyDescent="0.25">
      <c r="B30" s="1">
        <v>27</v>
      </c>
      <c r="C30" s="1" t="s">
        <v>248</v>
      </c>
      <c r="D30" s="3">
        <v>16.600000000000001</v>
      </c>
      <c r="E30" s="3">
        <v>2.1</v>
      </c>
      <c r="F30" s="3">
        <v>2.6</v>
      </c>
      <c r="G30" s="1">
        <f t="shared" si="0"/>
        <v>34.860000000000007</v>
      </c>
      <c r="H30" s="33">
        <f t="shared" si="1"/>
        <v>0.71698889345948169</v>
      </c>
      <c r="I30" s="4">
        <v>0.34</v>
      </c>
      <c r="J30" s="5">
        <v>100</v>
      </c>
      <c r="K30" s="6">
        <v>0.8</v>
      </c>
      <c r="L30" s="1">
        <f t="shared" si="2"/>
        <v>0.27200000000000002</v>
      </c>
      <c r="M30" s="10" t="s">
        <v>101</v>
      </c>
      <c r="N30" s="1" t="s">
        <v>224</v>
      </c>
      <c r="O30" s="7">
        <v>3250</v>
      </c>
      <c r="P30" s="1">
        <f t="shared" si="3"/>
        <v>3.9434389140271495</v>
      </c>
      <c r="Q30" s="8">
        <v>6</v>
      </c>
      <c r="R30" s="1">
        <v>1.25</v>
      </c>
      <c r="S30" s="1">
        <f t="shared" si="4"/>
        <v>3.25</v>
      </c>
      <c r="T30" s="1">
        <f t="shared" si="5"/>
        <v>1.625</v>
      </c>
      <c r="U30" s="32"/>
      <c r="V30" s="32"/>
      <c r="W30" s="32"/>
    </row>
    <row r="31" spans="2:23" x14ac:dyDescent="0.25">
      <c r="B31" s="1">
        <v>28</v>
      </c>
      <c r="C31" s="1" t="s">
        <v>249</v>
      </c>
      <c r="D31" s="3">
        <v>6.1</v>
      </c>
      <c r="E31" s="3">
        <v>2.8</v>
      </c>
      <c r="F31" s="3">
        <v>2.6</v>
      </c>
      <c r="G31" s="1">
        <f t="shared" si="0"/>
        <v>17.079999999999998</v>
      </c>
      <c r="H31" s="33">
        <f t="shared" si="1"/>
        <v>0.73811581676750215</v>
      </c>
      <c r="I31" s="4">
        <v>0.34</v>
      </c>
      <c r="J31" s="5">
        <v>100</v>
      </c>
      <c r="K31" s="6">
        <v>0.8</v>
      </c>
      <c r="L31" s="1">
        <f t="shared" si="2"/>
        <v>0.27200000000000002</v>
      </c>
      <c r="M31" s="10" t="s">
        <v>101</v>
      </c>
      <c r="N31" s="1" t="s">
        <v>224</v>
      </c>
      <c r="O31" s="7">
        <v>3250</v>
      </c>
      <c r="P31" s="1">
        <f t="shared" si="3"/>
        <v>1.9321266968325788</v>
      </c>
      <c r="Q31" s="8">
        <v>2</v>
      </c>
      <c r="R31" s="1">
        <v>1.25</v>
      </c>
      <c r="S31" s="1">
        <f t="shared" si="4"/>
        <v>3.25</v>
      </c>
      <c r="T31" s="1">
        <f t="shared" si="5"/>
        <v>1.625</v>
      </c>
      <c r="U31" s="32"/>
      <c r="V31" s="32"/>
      <c r="W31" s="32"/>
    </row>
    <row r="32" spans="2:23" x14ac:dyDescent="0.25">
      <c r="B32" s="1">
        <v>29</v>
      </c>
      <c r="C32" s="1" t="s">
        <v>250</v>
      </c>
      <c r="D32" s="3">
        <v>3.1</v>
      </c>
      <c r="E32" s="3">
        <v>4.5</v>
      </c>
      <c r="F32" s="3">
        <v>3.1</v>
      </c>
      <c r="G32" s="1">
        <f t="shared" si="0"/>
        <v>13.950000000000001</v>
      </c>
      <c r="H32" s="33">
        <f t="shared" si="1"/>
        <v>0.5921052631578948</v>
      </c>
      <c r="I32" s="4">
        <v>0.32</v>
      </c>
      <c r="J32" s="5">
        <v>300</v>
      </c>
      <c r="K32" s="6">
        <v>0.8</v>
      </c>
      <c r="L32" s="1">
        <f t="shared" si="2"/>
        <v>0.25600000000000001</v>
      </c>
      <c r="M32" s="10" t="s">
        <v>98</v>
      </c>
      <c r="N32" s="1" t="s">
        <v>225</v>
      </c>
      <c r="O32" s="7">
        <v>6500</v>
      </c>
      <c r="P32" s="1">
        <f t="shared" si="3"/>
        <v>2.5150240384615383</v>
      </c>
      <c r="Q32" s="8">
        <v>3</v>
      </c>
      <c r="R32" s="1">
        <v>1.25</v>
      </c>
      <c r="S32" s="1">
        <f t="shared" si="4"/>
        <v>3.875</v>
      </c>
      <c r="T32" s="1">
        <f t="shared" si="5"/>
        <v>1.9375</v>
      </c>
      <c r="U32" s="32"/>
      <c r="V32" s="32"/>
      <c r="W32" s="32"/>
    </row>
    <row r="33" spans="2:23" x14ac:dyDescent="0.25">
      <c r="B33" s="1">
        <v>30</v>
      </c>
      <c r="C33" s="1" t="s">
        <v>251</v>
      </c>
      <c r="D33" s="3">
        <v>3.1</v>
      </c>
      <c r="E33" s="3">
        <v>4.5</v>
      </c>
      <c r="F33" s="3">
        <v>3.1</v>
      </c>
      <c r="G33" s="1">
        <f t="shared" si="0"/>
        <v>13.950000000000001</v>
      </c>
      <c r="H33" s="33">
        <f t="shared" si="1"/>
        <v>0.5921052631578948</v>
      </c>
      <c r="I33" s="4">
        <v>0.32</v>
      </c>
      <c r="J33" s="5">
        <v>300</v>
      </c>
      <c r="K33" s="6">
        <v>0.8</v>
      </c>
      <c r="L33" s="1">
        <f t="shared" si="2"/>
        <v>0.25600000000000001</v>
      </c>
      <c r="M33" s="10" t="s">
        <v>98</v>
      </c>
      <c r="N33" s="1" t="s">
        <v>225</v>
      </c>
      <c r="O33" s="7">
        <v>6500</v>
      </c>
      <c r="P33" s="1">
        <f t="shared" si="3"/>
        <v>2.5150240384615383</v>
      </c>
      <c r="Q33" s="8">
        <v>3</v>
      </c>
      <c r="R33" s="1">
        <v>1.25</v>
      </c>
      <c r="S33" s="1">
        <f t="shared" si="4"/>
        <v>3.875</v>
      </c>
      <c r="T33" s="1">
        <f t="shared" si="5"/>
        <v>1.9375</v>
      </c>
      <c r="U33" s="32"/>
      <c r="V33" s="32"/>
      <c r="W33" s="32"/>
    </row>
    <row r="34" spans="2:23" x14ac:dyDescent="0.25">
      <c r="B34" s="1">
        <v>31</v>
      </c>
      <c r="C34" s="1" t="s">
        <v>252</v>
      </c>
      <c r="D34" s="3">
        <v>4.5</v>
      </c>
      <c r="E34" s="3">
        <v>3.03</v>
      </c>
      <c r="F34" s="3">
        <v>3.1</v>
      </c>
      <c r="G34" s="1">
        <f t="shared" si="0"/>
        <v>13.635</v>
      </c>
      <c r="H34" s="33">
        <f t="shared" si="1"/>
        <v>0.58411515229404964</v>
      </c>
      <c r="I34" s="4">
        <v>0.32</v>
      </c>
      <c r="J34" s="5">
        <v>300</v>
      </c>
      <c r="K34" s="6">
        <v>0.8</v>
      </c>
      <c r="L34" s="1">
        <f t="shared" si="2"/>
        <v>0.25600000000000001</v>
      </c>
      <c r="M34" s="10" t="s">
        <v>98</v>
      </c>
      <c r="N34" s="1" t="s">
        <v>225</v>
      </c>
      <c r="O34" s="7">
        <v>6500</v>
      </c>
      <c r="P34" s="1">
        <f t="shared" si="3"/>
        <v>2.4582331730769229</v>
      </c>
      <c r="Q34" s="8">
        <v>3</v>
      </c>
      <c r="R34" s="1">
        <v>1.25</v>
      </c>
      <c r="S34" s="1">
        <f t="shared" si="4"/>
        <v>3.875</v>
      </c>
      <c r="T34" s="1">
        <f t="shared" si="5"/>
        <v>1.9375</v>
      </c>
      <c r="U34" s="32"/>
      <c r="V34" s="32"/>
      <c r="W34" s="32"/>
    </row>
    <row r="35" spans="2:23" x14ac:dyDescent="0.25">
      <c r="B35" s="1">
        <v>32</v>
      </c>
      <c r="C35" s="1" t="s">
        <v>253</v>
      </c>
      <c r="D35" s="3">
        <v>9</v>
      </c>
      <c r="E35" s="3">
        <v>4.5</v>
      </c>
      <c r="F35" s="3">
        <v>3.1</v>
      </c>
      <c r="G35" s="1">
        <f t="shared" si="0"/>
        <v>40.5</v>
      </c>
      <c r="H35" s="33">
        <f t="shared" si="1"/>
        <v>0.96774193548387089</v>
      </c>
      <c r="I35" s="4">
        <v>0.38</v>
      </c>
      <c r="J35" s="5">
        <v>300</v>
      </c>
      <c r="K35" s="6">
        <v>0.8</v>
      </c>
      <c r="L35" s="1">
        <f t="shared" si="2"/>
        <v>0.30400000000000005</v>
      </c>
      <c r="M35" s="10" t="s">
        <v>98</v>
      </c>
      <c r="N35" s="1" t="s">
        <v>225</v>
      </c>
      <c r="O35" s="7">
        <v>6500</v>
      </c>
      <c r="P35" s="1">
        <f t="shared" si="3"/>
        <v>6.148785425101214</v>
      </c>
      <c r="Q35" s="8">
        <v>7</v>
      </c>
      <c r="R35" s="1">
        <v>1.25</v>
      </c>
      <c r="S35" s="1">
        <f t="shared" si="4"/>
        <v>3.875</v>
      </c>
      <c r="T35" s="1">
        <f t="shared" si="5"/>
        <v>1.9375</v>
      </c>
      <c r="U35" s="32"/>
      <c r="V35" s="32"/>
      <c r="W35" s="32"/>
    </row>
    <row r="36" spans="2:23" x14ac:dyDescent="0.25">
      <c r="B36" s="1">
        <v>33</v>
      </c>
      <c r="C36" s="1" t="s">
        <v>254</v>
      </c>
      <c r="D36" s="3">
        <v>6</v>
      </c>
      <c r="E36" s="3">
        <v>4.5</v>
      </c>
      <c r="F36" s="3">
        <v>3.1</v>
      </c>
      <c r="G36" s="1">
        <f t="shared" si="0"/>
        <v>27</v>
      </c>
      <c r="H36" s="33">
        <f t="shared" si="1"/>
        <v>0.82949308755760354</v>
      </c>
      <c r="I36" s="4">
        <v>0.38</v>
      </c>
      <c r="J36" s="5">
        <v>300</v>
      </c>
      <c r="K36" s="6">
        <v>0.8</v>
      </c>
      <c r="L36" s="1">
        <f t="shared" si="2"/>
        <v>0.30400000000000005</v>
      </c>
      <c r="M36" s="10" t="s">
        <v>98</v>
      </c>
      <c r="N36" s="1" t="s">
        <v>225</v>
      </c>
      <c r="O36" s="7">
        <v>6500</v>
      </c>
      <c r="P36" s="1">
        <f t="shared" si="3"/>
        <v>4.0991902834008096</v>
      </c>
      <c r="Q36" s="8">
        <v>5</v>
      </c>
      <c r="R36" s="1">
        <v>1.25</v>
      </c>
      <c r="S36" s="1">
        <f t="shared" si="4"/>
        <v>3.875</v>
      </c>
      <c r="T36" s="1">
        <f t="shared" si="5"/>
        <v>1.9375</v>
      </c>
      <c r="U36" s="32"/>
      <c r="V36" s="32"/>
      <c r="W36" s="32"/>
    </row>
    <row r="37" spans="2:23" x14ac:dyDescent="0.25">
      <c r="B37" s="1">
        <v>34</v>
      </c>
      <c r="C37" s="1" t="s">
        <v>255</v>
      </c>
      <c r="D37" s="3">
        <v>10.6</v>
      </c>
      <c r="E37" s="3">
        <v>7.5</v>
      </c>
      <c r="F37" s="3">
        <v>3.1</v>
      </c>
      <c r="G37" s="1">
        <f t="shared" si="0"/>
        <v>79.5</v>
      </c>
      <c r="H37" s="33">
        <f t="shared" si="1"/>
        <v>1.4168597397968274</v>
      </c>
      <c r="I37" s="4">
        <v>0.46</v>
      </c>
      <c r="J37" s="5">
        <v>300</v>
      </c>
      <c r="K37" s="6">
        <v>0.8</v>
      </c>
      <c r="L37" s="1">
        <f>I37*K37</f>
        <v>0.36800000000000005</v>
      </c>
      <c r="M37" s="10" t="s">
        <v>98</v>
      </c>
      <c r="N37" s="1" t="s">
        <v>225</v>
      </c>
      <c r="O37" s="7">
        <v>6500</v>
      </c>
      <c r="P37" s="1">
        <f t="shared" si="3"/>
        <v>9.9707357859531758</v>
      </c>
      <c r="Q37" s="8">
        <v>10</v>
      </c>
      <c r="R37" s="1">
        <v>1.25</v>
      </c>
      <c r="S37" s="1">
        <f t="shared" si="4"/>
        <v>3.875</v>
      </c>
      <c r="T37" s="1">
        <f t="shared" si="5"/>
        <v>1.9375</v>
      </c>
      <c r="U37" s="32"/>
      <c r="V37" s="32"/>
      <c r="W37" s="32"/>
    </row>
  </sheetData>
  <mergeCells count="10">
    <mergeCell ref="T2:T3"/>
    <mergeCell ref="N2:N3"/>
    <mergeCell ref="M2:M3"/>
    <mergeCell ref="I2:I3"/>
    <mergeCell ref="K2:K3"/>
    <mergeCell ref="C2:C3"/>
    <mergeCell ref="B2:B3"/>
    <mergeCell ref="D1:P1"/>
    <mergeCell ref="R2:R3"/>
    <mergeCell ref="S2:S3"/>
  </mergeCells>
  <hyperlinks>
    <hyperlink ref="P2" r:id="rId1" xr:uid="{FA8EDC80-5414-4FEA-80F3-FCD070E2652F}"/>
    <hyperlink ref="H2" r:id="rId2" xr:uid="{CB35A95F-931A-459E-951C-B11C4267CB45}"/>
    <hyperlink ref="O3" r:id="rId3" xr:uid="{8F1BF012-81AD-4CAD-B87D-36184302D179}"/>
    <hyperlink ref="M2" r:id="rId4" xr:uid="{FB7D09D3-A4AE-42DF-99AD-9DF6F3657A6A}"/>
    <hyperlink ref="F2" r:id="rId5" xr:uid="{F0293C5A-C956-4F45-94EB-7887F98DFBD0}"/>
    <hyperlink ref="J2" r:id="rId6" xr:uid="{B0F7AA31-AAE8-4BDA-8BCE-C10493AC7F3B}"/>
  </hyperlinks>
  <pageMargins left="0.7" right="0.7" top="0.75" bottom="0.75" header="0.3" footer="0.3"/>
  <pageSetup paperSize="58" orientation="landscape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GREEN - G FLOOR</vt:lpstr>
      <vt:lpstr>GREEN - 1ST FLOOR</vt:lpstr>
      <vt:lpstr>GREEN - 2ND FLOOR</vt:lpstr>
      <vt:lpstr>HEPA - 1ST FLOOR</vt:lpstr>
      <vt:lpstr>HEPA 2ND FLOOR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 HUSHAM MOHAMEDAIN YOUSUF</dc:creator>
  <cp:lastModifiedBy>ADEL HUSHAM MOHAMEDAIN YOUSUF</cp:lastModifiedBy>
  <cp:lastPrinted>2026-04-13T12:30:12Z</cp:lastPrinted>
  <dcterms:created xsi:type="dcterms:W3CDTF">2026-04-09T15:18:15Z</dcterms:created>
  <dcterms:modified xsi:type="dcterms:W3CDTF">2026-05-11T13:35:35Z</dcterms:modified>
</cp:coreProperties>
</file>