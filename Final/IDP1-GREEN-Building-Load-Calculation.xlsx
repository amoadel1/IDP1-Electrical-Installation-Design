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nimapedumy-my.sharepoint.com/personal/s231090057-1_studentmail_unimap_edu_my/Documents/Desktop/UniMAP/Semester/IDP 1/Progress 2/"/>
    </mc:Choice>
  </mc:AlternateContent>
  <xr:revisionPtr revIDLastSave="409" documentId="8_{F5B9EBA9-C27E-472C-A8CE-9C5760D73AA9}" xr6:coauthVersionLast="47" xr6:coauthVersionMax="47" xr10:uidLastSave="{61F31987-BDA9-448A-B018-E802FED32E10}"/>
  <bookViews>
    <workbookView xWindow="-120" yWindow="-120" windowWidth="29040" windowHeight="15720" tabRatio="500" firstSheet="12" activeTab="14" xr2:uid="{00000000-000D-0000-FFFF-FFFF00000000}"/>
  </bookViews>
  <sheets>
    <sheet name="JWPN TCL LAMPU" sheetId="1" state="hidden" r:id="rId1"/>
    <sheet name="JWPN TCL SOKET" sheetId="3" state="hidden" r:id="rId2"/>
    <sheet name="TCL SOKET KOSONG-GROUND FLOOR" sheetId="4" r:id="rId3"/>
    <sheet name="AC-GROUND FLOOR" sheetId="9" r:id="rId4"/>
    <sheet name=" GROUND FLOOR-TCL LAMPU KOSON " sheetId="10" r:id="rId5"/>
    <sheet name="AC CALCULATION - GROUND FLOOR" sheetId="11" r:id="rId6"/>
    <sheet name="1ST FLOOR - TCL SOKET KOSON" sheetId="12" r:id="rId7"/>
    <sheet name="1ST FLOOR -AC" sheetId="14" r:id="rId8"/>
    <sheet name="1ST FLOOR - TCL LAMPU KOSON " sheetId="15" r:id="rId9"/>
    <sheet name="1ST FLOOR - AC CALCULATION" sheetId="16" r:id="rId10"/>
    <sheet name="2ND FLOOR-TCL SOKET KOSON" sheetId="17" r:id="rId11"/>
    <sheet name="2ND FLOOR-AC" sheetId="18" r:id="rId12"/>
    <sheet name="2ND FLOOR - TCL LAMPU KOSON  " sheetId="19" r:id="rId13"/>
    <sheet name="2ND FLOOR - AC CALCULATION" sheetId="20" r:id="rId14"/>
    <sheet name="SSB &amp; MSB GREEN BUILDING" sheetId="21" r:id="rId15"/>
  </sheets>
  <externalReferences>
    <externalReference r:id="rId16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42" i="4" l="1"/>
  <c r="F42" i="4"/>
  <c r="E42" i="4"/>
  <c r="H45" i="9"/>
  <c r="E45" i="9"/>
  <c r="F45" i="9"/>
  <c r="D45" i="9"/>
  <c r="K41" i="14"/>
  <c r="K9" i="18"/>
  <c r="K15" i="18"/>
  <c r="K21" i="18"/>
  <c r="K27" i="18"/>
  <c r="K33" i="18"/>
  <c r="J7" i="18"/>
  <c r="J13" i="18"/>
  <c r="J19" i="18"/>
  <c r="J25" i="18"/>
  <c r="J31" i="18"/>
  <c r="J37" i="18"/>
  <c r="I11" i="18"/>
  <c r="I17" i="18"/>
  <c r="I23" i="18"/>
  <c r="I29" i="18"/>
  <c r="I35" i="18"/>
  <c r="I5" i="18"/>
  <c r="F11" i="17"/>
  <c r="H11" i="17"/>
  <c r="K11" i="17"/>
  <c r="F12" i="17"/>
  <c r="H12" i="17"/>
  <c r="K12" i="17"/>
  <c r="F19" i="17"/>
  <c r="H19" i="17"/>
  <c r="K19" i="17"/>
  <c r="F20" i="17"/>
  <c r="H20" i="17"/>
  <c r="K20" i="17"/>
  <c r="F28" i="17"/>
  <c r="H28" i="17"/>
  <c r="K28" i="17"/>
  <c r="F29" i="17"/>
  <c r="H29" i="17"/>
  <c r="K29" i="17"/>
  <c r="F35" i="17"/>
  <c r="H35" i="17"/>
  <c r="K35" i="17"/>
  <c r="F8" i="17"/>
  <c r="H8" i="17"/>
  <c r="J8" i="17"/>
  <c r="F9" i="17"/>
  <c r="H9" i="17"/>
  <c r="J9" i="17"/>
  <c r="F17" i="17"/>
  <c r="H17" i="17"/>
  <c r="J17" i="17"/>
  <c r="F25" i="17"/>
  <c r="H25" i="17"/>
  <c r="J25" i="17"/>
  <c r="F26" i="17"/>
  <c r="H26" i="17"/>
  <c r="J26" i="17"/>
  <c r="F33" i="17"/>
  <c r="H33" i="17"/>
  <c r="J33" i="17"/>
  <c r="F5" i="17"/>
  <c r="H5" i="17"/>
  <c r="F6" i="17"/>
  <c r="H6" i="17"/>
  <c r="I6" i="17"/>
  <c r="F14" i="17"/>
  <c r="H14" i="17"/>
  <c r="I14" i="17"/>
  <c r="F15" i="17"/>
  <c r="H15" i="17"/>
  <c r="I15" i="17"/>
  <c r="F22" i="17"/>
  <c r="H22" i="17"/>
  <c r="I22" i="17"/>
  <c r="F23" i="17"/>
  <c r="H23" i="17"/>
  <c r="I23" i="17"/>
  <c r="F31" i="17"/>
  <c r="H31" i="17"/>
  <c r="I31" i="17"/>
  <c r="I5" i="17"/>
  <c r="K12" i="15"/>
  <c r="K13" i="15"/>
  <c r="K20" i="15"/>
  <c r="K29" i="15"/>
  <c r="K35" i="15"/>
  <c r="K42" i="15"/>
  <c r="K48" i="15"/>
  <c r="J9" i="15"/>
  <c r="J10" i="15"/>
  <c r="J18" i="15"/>
  <c r="J25" i="15"/>
  <c r="J26" i="15"/>
  <c r="J27" i="15"/>
  <c r="J33" i="15"/>
  <c r="J40" i="15"/>
  <c r="J46" i="15"/>
  <c r="I6" i="15"/>
  <c r="I7" i="15"/>
  <c r="I15" i="15"/>
  <c r="I16" i="15"/>
  <c r="I22" i="15"/>
  <c r="I23" i="15"/>
  <c r="I31" i="15"/>
  <c r="I37" i="15"/>
  <c r="I38" i="15"/>
  <c r="I44" i="15"/>
  <c r="I5" i="15"/>
  <c r="K15" i="14"/>
  <c r="I17" i="14"/>
  <c r="H17" i="14"/>
  <c r="H15" i="14"/>
  <c r="H33" i="14"/>
  <c r="K33" i="14"/>
  <c r="H35" i="14"/>
  <c r="I35" i="14"/>
  <c r="H29" i="14"/>
  <c r="I29" i="14"/>
  <c r="H9" i="14"/>
  <c r="K9" i="14"/>
  <c r="H21" i="14"/>
  <c r="K21" i="14"/>
  <c r="H27" i="14"/>
  <c r="K27" i="14"/>
  <c r="H39" i="14"/>
  <c r="K39" i="14"/>
  <c r="H7" i="14"/>
  <c r="J7" i="14"/>
  <c r="H13" i="14"/>
  <c r="J13" i="14"/>
  <c r="H19" i="14"/>
  <c r="J19" i="14"/>
  <c r="H25" i="14"/>
  <c r="J25" i="14"/>
  <c r="H31" i="14"/>
  <c r="J31" i="14"/>
  <c r="H37" i="14"/>
  <c r="J37" i="14"/>
  <c r="H11" i="14"/>
  <c r="I11" i="14"/>
  <c r="H23" i="14"/>
  <c r="I23" i="14"/>
  <c r="F5" i="14"/>
  <c r="H5" i="14"/>
  <c r="I5" i="14"/>
  <c r="K13" i="12"/>
  <c r="K14" i="12"/>
  <c r="K15" i="12"/>
  <c r="K21" i="12"/>
  <c r="K22" i="12"/>
  <c r="K23" i="12"/>
  <c r="K24" i="12"/>
  <c r="K33" i="12"/>
  <c r="K34" i="12"/>
  <c r="J10" i="12"/>
  <c r="J11" i="12"/>
  <c r="J19" i="12"/>
  <c r="J29" i="12"/>
  <c r="J30" i="12"/>
  <c r="J31" i="12"/>
  <c r="F7" i="12"/>
  <c r="H7" i="12"/>
  <c r="I7" i="12"/>
  <c r="F8" i="12"/>
  <c r="H8" i="12"/>
  <c r="I8" i="12"/>
  <c r="F17" i="12"/>
  <c r="H17" i="12"/>
  <c r="I17" i="12"/>
  <c r="F26" i="12"/>
  <c r="H26" i="12"/>
  <c r="I26" i="12"/>
  <c r="F27" i="12"/>
  <c r="H27" i="12"/>
  <c r="I27" i="12"/>
  <c r="F36" i="12"/>
  <c r="H36" i="12"/>
  <c r="I36" i="12"/>
  <c r="F6" i="12"/>
  <c r="H6" i="12"/>
  <c r="I6" i="12"/>
  <c r="K15" i="10"/>
  <c r="K16" i="10"/>
  <c r="K17" i="10"/>
  <c r="K29" i="10"/>
  <c r="K30" i="10"/>
  <c r="K31" i="10"/>
  <c r="K37" i="10"/>
  <c r="K38" i="10"/>
  <c r="K39" i="10"/>
  <c r="K50" i="10"/>
  <c r="K51" i="10"/>
  <c r="K52" i="10"/>
  <c r="K53" i="10"/>
  <c r="K65" i="10"/>
  <c r="K66" i="10"/>
  <c r="K67" i="10"/>
  <c r="K68" i="10"/>
  <c r="K74" i="10"/>
  <c r="K81" i="10"/>
  <c r="K82" i="10"/>
  <c r="K83" i="10"/>
  <c r="J10" i="10"/>
  <c r="J11" i="10"/>
  <c r="J12" i="10"/>
  <c r="J13" i="10"/>
  <c r="J24" i="10"/>
  <c r="J25" i="10"/>
  <c r="J26" i="10"/>
  <c r="J27" i="10"/>
  <c r="J35" i="10"/>
  <c r="J45" i="10"/>
  <c r="J46" i="10"/>
  <c r="J47" i="10"/>
  <c r="J48" i="10"/>
  <c r="J60" i="10"/>
  <c r="J61" i="10"/>
  <c r="J62" i="10"/>
  <c r="J63" i="10"/>
  <c r="J72" i="10"/>
  <c r="J78" i="10"/>
  <c r="J79" i="10"/>
  <c r="J87" i="10"/>
  <c r="J88" i="10"/>
  <c r="J89" i="10"/>
  <c r="J90" i="10"/>
  <c r="I7" i="10"/>
  <c r="I8" i="10"/>
  <c r="F19" i="10"/>
  <c r="H19" i="10"/>
  <c r="I19" i="10"/>
  <c r="I20" i="10"/>
  <c r="I21" i="10"/>
  <c r="I22" i="10"/>
  <c r="I33" i="10"/>
  <c r="I41" i="10"/>
  <c r="I42" i="10"/>
  <c r="I43" i="10"/>
  <c r="I55" i="10"/>
  <c r="I56" i="10"/>
  <c r="I57" i="10"/>
  <c r="I58" i="10"/>
  <c r="I70" i="10"/>
  <c r="I76" i="10"/>
  <c r="I85" i="10"/>
  <c r="I6" i="10"/>
  <c r="I5" i="9"/>
  <c r="K12" i="4"/>
  <c r="K13" i="4"/>
  <c r="K23" i="4"/>
  <c r="K33" i="4"/>
  <c r="K39" i="4"/>
  <c r="K40" i="4"/>
  <c r="J9" i="4"/>
  <c r="J10" i="4"/>
  <c r="J18" i="4"/>
  <c r="J19" i="4"/>
  <c r="J20" i="4"/>
  <c r="J21" i="4"/>
  <c r="J31" i="4"/>
  <c r="I7" i="4"/>
  <c r="I15" i="4"/>
  <c r="I16" i="4"/>
  <c r="I25" i="4"/>
  <c r="I26" i="4"/>
  <c r="I27" i="4"/>
  <c r="I28" i="4"/>
  <c r="I29" i="4"/>
  <c r="I35" i="4"/>
  <c r="I36" i="4"/>
  <c r="I37" i="4"/>
  <c r="I6" i="4"/>
  <c r="K45" i="9"/>
  <c r="K43" i="9"/>
  <c r="F9" i="9"/>
  <c r="H9" i="9"/>
  <c r="K9" i="9"/>
  <c r="F15" i="9"/>
  <c r="H15" i="9"/>
  <c r="K15" i="9"/>
  <c r="F21" i="9"/>
  <c r="H21" i="9"/>
  <c r="K21" i="9"/>
  <c r="F27" i="9"/>
  <c r="H27" i="9"/>
  <c r="K27" i="9"/>
  <c r="F33" i="9"/>
  <c r="H33" i="9"/>
  <c r="K33" i="9"/>
  <c r="F39" i="9"/>
  <c r="H39" i="9"/>
  <c r="K39" i="9"/>
  <c r="F7" i="9"/>
  <c r="H7" i="9"/>
  <c r="J7" i="9"/>
  <c r="F13" i="9"/>
  <c r="H13" i="9"/>
  <c r="J13" i="9"/>
  <c r="F19" i="9"/>
  <c r="H19" i="9"/>
  <c r="J19" i="9"/>
  <c r="F25" i="9"/>
  <c r="H25" i="9"/>
  <c r="J25" i="9"/>
  <c r="F31" i="9"/>
  <c r="H31" i="9"/>
  <c r="J31" i="9"/>
  <c r="F43" i="9"/>
  <c r="H43" i="9"/>
  <c r="F37" i="9"/>
  <c r="H37" i="9"/>
  <c r="J37" i="9"/>
  <c r="F41" i="9"/>
  <c r="H41" i="9"/>
  <c r="I41" i="9"/>
  <c r="F11" i="9"/>
  <c r="H11" i="9"/>
  <c r="I11" i="9"/>
  <c r="F17" i="9"/>
  <c r="H17" i="9"/>
  <c r="I17" i="9"/>
  <c r="F23" i="9"/>
  <c r="H23" i="9"/>
  <c r="I23" i="9"/>
  <c r="F29" i="9"/>
  <c r="H29" i="9"/>
  <c r="I29" i="9"/>
  <c r="F35" i="9"/>
  <c r="H35" i="9"/>
  <c r="I35" i="9"/>
  <c r="F5" i="9"/>
  <c r="H5" i="9"/>
  <c r="K12" i="19"/>
  <c r="K13" i="19"/>
  <c r="K20" i="19"/>
  <c r="K29" i="19"/>
  <c r="K35" i="19"/>
  <c r="K42" i="19"/>
  <c r="K48" i="19"/>
  <c r="J9" i="19"/>
  <c r="J10" i="19"/>
  <c r="J18" i="19"/>
  <c r="J25" i="19"/>
  <c r="J26" i="19"/>
  <c r="J27" i="19"/>
  <c r="J33" i="19"/>
  <c r="J40" i="19"/>
  <c r="J46" i="19"/>
  <c r="I5" i="19"/>
  <c r="I6" i="19"/>
  <c r="I7" i="19"/>
  <c r="I15" i="19"/>
  <c r="I16" i="19"/>
  <c r="I22" i="19"/>
  <c r="I23" i="19"/>
  <c r="I31" i="19"/>
  <c r="I37" i="19"/>
  <c r="I38" i="19"/>
  <c r="I44" i="19"/>
  <c r="I51" i="19"/>
  <c r="I52" i="19"/>
  <c r="I53" i="19"/>
  <c r="D7" i="21"/>
  <c r="D25" i="21"/>
  <c r="C7" i="21"/>
  <c r="C25" i="21"/>
  <c r="I55" i="19"/>
  <c r="H55" i="19"/>
  <c r="F55" i="19"/>
  <c r="E55" i="19"/>
  <c r="F49" i="19"/>
  <c r="H49" i="19"/>
  <c r="E5" i="19"/>
  <c r="F5" i="19"/>
  <c r="H5" i="19"/>
  <c r="E6" i="19"/>
  <c r="F6" i="19"/>
  <c r="H6" i="19"/>
  <c r="E7" i="19"/>
  <c r="F7" i="19"/>
  <c r="H7" i="19"/>
  <c r="E15" i="19"/>
  <c r="F15" i="19"/>
  <c r="H15" i="19"/>
  <c r="E16" i="19"/>
  <c r="F16" i="19"/>
  <c r="H16" i="19"/>
  <c r="E22" i="19"/>
  <c r="F22" i="19"/>
  <c r="H22" i="19"/>
  <c r="E23" i="19"/>
  <c r="F23" i="19"/>
  <c r="H23" i="19"/>
  <c r="E31" i="19"/>
  <c r="F31" i="19"/>
  <c r="H31" i="19"/>
  <c r="E37" i="19"/>
  <c r="F37" i="19"/>
  <c r="H37" i="19"/>
  <c r="F38" i="19"/>
  <c r="H38" i="19"/>
  <c r="F44" i="19"/>
  <c r="H44" i="19"/>
  <c r="F51" i="19"/>
  <c r="H51" i="19"/>
  <c r="F52" i="19"/>
  <c r="H52" i="19"/>
  <c r="F53" i="19"/>
  <c r="H53" i="19"/>
  <c r="E9" i="19"/>
  <c r="F9" i="19"/>
  <c r="H9" i="19"/>
  <c r="E10" i="19"/>
  <c r="F10" i="19"/>
  <c r="H10" i="19"/>
  <c r="E12" i="19"/>
  <c r="F12" i="19"/>
  <c r="H12" i="19"/>
  <c r="E13" i="19"/>
  <c r="F13" i="19"/>
  <c r="H13" i="19"/>
  <c r="E18" i="19"/>
  <c r="F18" i="19"/>
  <c r="H18" i="19"/>
  <c r="E20" i="19"/>
  <c r="F20" i="19"/>
  <c r="H20" i="19"/>
  <c r="E25" i="19"/>
  <c r="F25" i="19"/>
  <c r="H25" i="19"/>
  <c r="E26" i="19"/>
  <c r="F26" i="19"/>
  <c r="H26" i="19"/>
  <c r="E27" i="19"/>
  <c r="F27" i="19"/>
  <c r="H27" i="19"/>
  <c r="E29" i="19"/>
  <c r="F29" i="19"/>
  <c r="H29" i="19"/>
  <c r="E33" i="19"/>
  <c r="F33" i="19"/>
  <c r="H33" i="19"/>
  <c r="E35" i="19"/>
  <c r="F35" i="19"/>
  <c r="H35" i="19"/>
  <c r="F40" i="19"/>
  <c r="H40" i="19"/>
  <c r="F42" i="19"/>
  <c r="H42" i="19"/>
  <c r="F46" i="19"/>
  <c r="H46" i="19"/>
  <c r="F48" i="19"/>
  <c r="H48" i="19"/>
  <c r="F8" i="19"/>
  <c r="F11" i="19"/>
  <c r="F14" i="19"/>
  <c r="F17" i="19"/>
  <c r="F21" i="19"/>
  <c r="F45" i="19"/>
  <c r="D55" i="19"/>
  <c r="D14" i="21"/>
  <c r="D21" i="21"/>
  <c r="C14" i="21"/>
  <c r="C21" i="21"/>
  <c r="D21" i="20"/>
  <c r="E21" i="20"/>
  <c r="D20" i="20"/>
  <c r="E20" i="20"/>
  <c r="D19" i="20"/>
  <c r="E19" i="20"/>
  <c r="D18" i="20"/>
  <c r="E18" i="20"/>
  <c r="D17" i="20"/>
  <c r="E17" i="20"/>
  <c r="D16" i="20"/>
  <c r="E16" i="20"/>
  <c r="D15" i="20"/>
  <c r="E15" i="20"/>
  <c r="D14" i="20"/>
  <c r="E14" i="20"/>
  <c r="D13" i="20"/>
  <c r="E13" i="20"/>
  <c r="D12" i="20"/>
  <c r="E12" i="20"/>
  <c r="D11" i="20"/>
  <c r="E11" i="20"/>
  <c r="D10" i="20"/>
  <c r="E10" i="20"/>
  <c r="D9" i="20"/>
  <c r="E9" i="20"/>
  <c r="D8" i="20"/>
  <c r="E8" i="20"/>
  <c r="D7" i="20"/>
  <c r="E7" i="20"/>
  <c r="D6" i="20"/>
  <c r="E6" i="20"/>
  <c r="D5" i="20"/>
  <c r="E5" i="20"/>
  <c r="D4" i="20"/>
  <c r="E4" i="20"/>
  <c r="K55" i="19"/>
  <c r="J55" i="19"/>
  <c r="H9" i="18"/>
  <c r="H15" i="18"/>
  <c r="H21" i="18"/>
  <c r="H27" i="18"/>
  <c r="H33" i="18"/>
  <c r="K39" i="18"/>
  <c r="H7" i="18"/>
  <c r="H13" i="18"/>
  <c r="H19" i="18"/>
  <c r="H25" i="18"/>
  <c r="H31" i="18"/>
  <c r="H37" i="18"/>
  <c r="J39" i="18"/>
  <c r="F5" i="18"/>
  <c r="H5" i="18"/>
  <c r="H11" i="18"/>
  <c r="H17" i="18"/>
  <c r="H23" i="18"/>
  <c r="H29" i="18"/>
  <c r="H35" i="18"/>
  <c r="I39" i="18"/>
  <c r="H39" i="18"/>
  <c r="F39" i="18"/>
  <c r="E39" i="18"/>
  <c r="D39" i="18"/>
  <c r="E37" i="17"/>
  <c r="F37" i="17"/>
  <c r="K37" i="17"/>
  <c r="I37" i="17"/>
  <c r="J37" i="17"/>
  <c r="H37" i="17"/>
  <c r="D37" i="17"/>
  <c r="F22" i="16"/>
  <c r="G22" i="16"/>
  <c r="F21" i="16"/>
  <c r="G21" i="16"/>
  <c r="F20" i="16"/>
  <c r="G20" i="16"/>
  <c r="F19" i="16"/>
  <c r="G19" i="16"/>
  <c r="F18" i="16"/>
  <c r="G18" i="16"/>
  <c r="F17" i="16"/>
  <c r="G17" i="16"/>
  <c r="F16" i="16"/>
  <c r="G16" i="16"/>
  <c r="F15" i="16"/>
  <c r="G15" i="16"/>
  <c r="F14" i="16"/>
  <c r="G14" i="16"/>
  <c r="F13" i="16"/>
  <c r="G13" i="16"/>
  <c r="F12" i="16"/>
  <c r="G12" i="16"/>
  <c r="F11" i="16"/>
  <c r="G11" i="16"/>
  <c r="F10" i="16"/>
  <c r="G10" i="16"/>
  <c r="F9" i="16"/>
  <c r="G9" i="16"/>
  <c r="F8" i="16"/>
  <c r="G8" i="16"/>
  <c r="F7" i="16"/>
  <c r="G7" i="16"/>
  <c r="F6" i="16"/>
  <c r="G6" i="16"/>
  <c r="F5" i="16"/>
  <c r="G5" i="16"/>
  <c r="F4" i="16"/>
  <c r="G4" i="16"/>
  <c r="E12" i="15"/>
  <c r="F12" i="15"/>
  <c r="H12" i="15"/>
  <c r="E13" i="15"/>
  <c r="F13" i="15"/>
  <c r="H13" i="15"/>
  <c r="E20" i="15"/>
  <c r="F20" i="15"/>
  <c r="H20" i="15"/>
  <c r="E29" i="15"/>
  <c r="F29" i="15"/>
  <c r="H29" i="15"/>
  <c r="E35" i="15"/>
  <c r="F35" i="15"/>
  <c r="H35" i="15"/>
  <c r="F42" i="15"/>
  <c r="H42" i="15"/>
  <c r="E48" i="15"/>
  <c r="F48" i="15"/>
  <c r="H48" i="15"/>
  <c r="K50" i="15"/>
  <c r="E9" i="15"/>
  <c r="F9" i="15"/>
  <c r="H9" i="15"/>
  <c r="E10" i="15"/>
  <c r="F10" i="15"/>
  <c r="H10" i="15"/>
  <c r="E18" i="15"/>
  <c r="F18" i="15"/>
  <c r="H18" i="15"/>
  <c r="E25" i="15"/>
  <c r="F25" i="15"/>
  <c r="H25" i="15"/>
  <c r="E26" i="15"/>
  <c r="F26" i="15"/>
  <c r="H26" i="15"/>
  <c r="E27" i="15"/>
  <c r="F27" i="15"/>
  <c r="H27" i="15"/>
  <c r="E33" i="15"/>
  <c r="F33" i="15"/>
  <c r="H33" i="15"/>
  <c r="F40" i="15"/>
  <c r="H40" i="15"/>
  <c r="F46" i="15"/>
  <c r="H46" i="15"/>
  <c r="J50" i="15"/>
  <c r="E5" i="15"/>
  <c r="F5" i="15"/>
  <c r="H5" i="15"/>
  <c r="E6" i="15"/>
  <c r="F6" i="15"/>
  <c r="H6" i="15"/>
  <c r="E7" i="15"/>
  <c r="F7" i="15"/>
  <c r="H7" i="15"/>
  <c r="E15" i="15"/>
  <c r="F15" i="15"/>
  <c r="H15" i="15"/>
  <c r="E16" i="15"/>
  <c r="F16" i="15"/>
  <c r="H16" i="15"/>
  <c r="E22" i="15"/>
  <c r="F22" i="15"/>
  <c r="H22" i="15"/>
  <c r="E23" i="15"/>
  <c r="F23" i="15"/>
  <c r="H23" i="15"/>
  <c r="E31" i="15"/>
  <c r="F31" i="15"/>
  <c r="H31" i="15"/>
  <c r="F37" i="15"/>
  <c r="H37" i="15"/>
  <c r="F38" i="15"/>
  <c r="H38" i="15"/>
  <c r="F44" i="15"/>
  <c r="H44" i="15"/>
  <c r="I50" i="15"/>
  <c r="F50" i="15"/>
  <c r="H50" i="15"/>
  <c r="E50" i="15"/>
  <c r="D50" i="15"/>
  <c r="D41" i="14"/>
  <c r="E41" i="14"/>
  <c r="F41" i="14"/>
  <c r="G41" i="14"/>
  <c r="H41" i="14"/>
  <c r="I41" i="14"/>
  <c r="J41" i="14"/>
  <c r="F13" i="12"/>
  <c r="H13" i="12"/>
  <c r="F14" i="12"/>
  <c r="H14" i="12"/>
  <c r="F15" i="12"/>
  <c r="H15" i="12"/>
  <c r="F21" i="12"/>
  <c r="H21" i="12"/>
  <c r="F22" i="12"/>
  <c r="H22" i="12"/>
  <c r="F23" i="12"/>
  <c r="H23" i="12"/>
  <c r="F24" i="12"/>
  <c r="H24" i="12"/>
  <c r="F33" i="12"/>
  <c r="H33" i="12"/>
  <c r="F34" i="12"/>
  <c r="H34" i="12"/>
  <c r="K38" i="12"/>
  <c r="F10" i="12"/>
  <c r="H10" i="12"/>
  <c r="F11" i="12"/>
  <c r="H11" i="12"/>
  <c r="F19" i="12"/>
  <c r="H19" i="12"/>
  <c r="F29" i="12"/>
  <c r="H29" i="12"/>
  <c r="F30" i="12"/>
  <c r="H30" i="12"/>
  <c r="F31" i="12"/>
  <c r="H31" i="12"/>
  <c r="J38" i="12"/>
  <c r="I38" i="12"/>
  <c r="H38" i="12"/>
  <c r="F38" i="12"/>
  <c r="E38" i="12"/>
  <c r="D38" i="12"/>
  <c r="F26" i="11"/>
  <c r="F25" i="11"/>
  <c r="G25" i="11"/>
  <c r="F24" i="11"/>
  <c r="G24" i="11"/>
  <c r="F23" i="11"/>
  <c r="G23" i="11"/>
  <c r="F22" i="11"/>
  <c r="F21" i="11"/>
  <c r="F20" i="11"/>
  <c r="G20" i="11"/>
  <c r="F19" i="11"/>
  <c r="G19" i="11"/>
  <c r="F18" i="11"/>
  <c r="G18" i="11"/>
  <c r="F17" i="11"/>
  <c r="G17" i="11"/>
  <c r="F16" i="11"/>
  <c r="G16" i="11"/>
  <c r="F15" i="11"/>
  <c r="F14" i="11"/>
  <c r="F13" i="11"/>
  <c r="G13" i="11"/>
  <c r="F12" i="11"/>
  <c r="G12" i="11"/>
  <c r="F11" i="11"/>
  <c r="G11" i="11"/>
  <c r="F10" i="11"/>
  <c r="F9" i="11"/>
  <c r="G9" i="11"/>
  <c r="F8" i="11"/>
  <c r="F7" i="11"/>
  <c r="G7" i="11"/>
  <c r="F6" i="11"/>
  <c r="G6" i="11"/>
  <c r="F5" i="11"/>
  <c r="G5" i="11"/>
  <c r="F4" i="11"/>
  <c r="G4" i="11"/>
  <c r="I92" i="10"/>
  <c r="F20" i="10"/>
  <c r="H20" i="10"/>
  <c r="F88" i="10"/>
  <c r="H88" i="10"/>
  <c r="F89" i="10"/>
  <c r="H89" i="10"/>
  <c r="F90" i="10"/>
  <c r="H90" i="10"/>
  <c r="F16" i="10"/>
  <c r="H16" i="10"/>
  <c r="F87" i="10"/>
  <c r="H87" i="10"/>
  <c r="F53" i="10"/>
  <c r="F56" i="10"/>
  <c r="H56" i="10"/>
  <c r="F63" i="10"/>
  <c r="H63" i="10"/>
  <c r="F68" i="10"/>
  <c r="H68" i="10"/>
  <c r="F67" i="10"/>
  <c r="H67" i="10"/>
  <c r="F66" i="10"/>
  <c r="H66" i="10"/>
  <c r="F61" i="10"/>
  <c r="H61" i="10"/>
  <c r="F82" i="10"/>
  <c r="H82" i="10"/>
  <c r="F83" i="10"/>
  <c r="H83" i="10"/>
  <c r="F79" i="10"/>
  <c r="H79" i="10"/>
  <c r="E15" i="10"/>
  <c r="F15" i="10"/>
  <c r="H15" i="10"/>
  <c r="F17" i="10"/>
  <c r="H17" i="10"/>
  <c r="F29" i="10"/>
  <c r="H29" i="10"/>
  <c r="F30" i="10"/>
  <c r="H30" i="10"/>
  <c r="F31" i="10"/>
  <c r="H31" i="10"/>
  <c r="F37" i="10"/>
  <c r="H37" i="10"/>
  <c r="F38" i="10"/>
  <c r="H38" i="10"/>
  <c r="F39" i="10"/>
  <c r="H39" i="10"/>
  <c r="F50" i="10"/>
  <c r="H50" i="10"/>
  <c r="F51" i="10"/>
  <c r="H51" i="10"/>
  <c r="F52" i="10"/>
  <c r="H52" i="10"/>
  <c r="H53" i="10"/>
  <c r="F65" i="10"/>
  <c r="H65" i="10"/>
  <c r="F74" i="10"/>
  <c r="H74" i="10"/>
  <c r="F81" i="10"/>
  <c r="H81" i="10"/>
  <c r="K92" i="10"/>
  <c r="E10" i="10"/>
  <c r="F10" i="10"/>
  <c r="H10" i="10"/>
  <c r="E11" i="10"/>
  <c r="F11" i="10"/>
  <c r="H11" i="10"/>
  <c r="E12" i="10"/>
  <c r="F12" i="10"/>
  <c r="H12" i="10"/>
  <c r="E13" i="10"/>
  <c r="F13" i="10"/>
  <c r="H13" i="10"/>
  <c r="F24" i="10"/>
  <c r="H24" i="10"/>
  <c r="F25" i="10"/>
  <c r="H25" i="10"/>
  <c r="F26" i="10"/>
  <c r="H26" i="10"/>
  <c r="F27" i="10"/>
  <c r="H27" i="10"/>
  <c r="F35" i="10"/>
  <c r="H35" i="10"/>
  <c r="F45" i="10"/>
  <c r="H45" i="10"/>
  <c r="F46" i="10"/>
  <c r="H46" i="10"/>
  <c r="F47" i="10"/>
  <c r="H47" i="10"/>
  <c r="F48" i="10"/>
  <c r="H48" i="10"/>
  <c r="F60" i="10"/>
  <c r="H60" i="10"/>
  <c r="F62" i="10"/>
  <c r="H62" i="10"/>
  <c r="F72" i="10"/>
  <c r="H72" i="10"/>
  <c r="F78" i="10"/>
  <c r="H78" i="10"/>
  <c r="J92" i="10"/>
  <c r="F70" i="10"/>
  <c r="H70" i="10"/>
  <c r="E6" i="10"/>
  <c r="F6" i="10"/>
  <c r="H6" i="10"/>
  <c r="E7" i="10"/>
  <c r="F7" i="10"/>
  <c r="H7" i="10"/>
  <c r="E8" i="10"/>
  <c r="F8" i="10"/>
  <c r="H8" i="10"/>
  <c r="E21" i="10"/>
  <c r="F21" i="10"/>
  <c r="H21" i="10"/>
  <c r="F22" i="10"/>
  <c r="H22" i="10"/>
  <c r="F33" i="10"/>
  <c r="H33" i="10"/>
  <c r="F41" i="10"/>
  <c r="H41" i="10"/>
  <c r="F42" i="10"/>
  <c r="H42" i="10"/>
  <c r="F43" i="10"/>
  <c r="H43" i="10"/>
  <c r="F55" i="10"/>
  <c r="H55" i="10"/>
  <c r="F57" i="10"/>
  <c r="H57" i="10"/>
  <c r="F58" i="10"/>
  <c r="H58" i="10"/>
  <c r="F76" i="10"/>
  <c r="H76" i="10"/>
  <c r="F85" i="10"/>
  <c r="H85" i="10"/>
  <c r="H92" i="10"/>
  <c r="F92" i="10"/>
  <c r="E92" i="10"/>
  <c r="D92" i="10"/>
  <c r="I45" i="9"/>
  <c r="J45" i="9"/>
  <c r="F51" i="9"/>
  <c r="I51" i="9"/>
  <c r="J51" i="9"/>
  <c r="K51" i="9"/>
  <c r="F40" i="4"/>
  <c r="H40" i="4"/>
  <c r="F23" i="4"/>
  <c r="H23" i="4"/>
  <c r="F12" i="4"/>
  <c r="H12" i="4"/>
  <c r="F13" i="4"/>
  <c r="H13" i="4"/>
  <c r="F33" i="4"/>
  <c r="H33" i="4"/>
  <c r="F39" i="4"/>
  <c r="H39" i="4"/>
  <c r="K42" i="4"/>
  <c r="D42" i="4"/>
  <c r="F21" i="4"/>
  <c r="H21" i="4"/>
  <c r="F31" i="4"/>
  <c r="H31" i="4"/>
  <c r="F9" i="4"/>
  <c r="H9" i="4"/>
  <c r="F10" i="4"/>
  <c r="H10" i="4"/>
  <c r="F18" i="4"/>
  <c r="H18" i="4"/>
  <c r="F19" i="4"/>
  <c r="H19" i="4"/>
  <c r="F20" i="4"/>
  <c r="H20" i="4"/>
  <c r="J42" i="4"/>
  <c r="F7" i="4"/>
  <c r="H7" i="4"/>
  <c r="F15" i="4"/>
  <c r="H15" i="4"/>
  <c r="F16" i="4"/>
  <c r="H16" i="4"/>
  <c r="F25" i="4"/>
  <c r="H25" i="4"/>
  <c r="F26" i="4"/>
  <c r="H26" i="4"/>
  <c r="F27" i="4"/>
  <c r="H27" i="4"/>
  <c r="F28" i="4"/>
  <c r="H28" i="4"/>
  <c r="F29" i="4"/>
  <c r="H29" i="4"/>
  <c r="F35" i="4"/>
  <c r="H35" i="4"/>
  <c r="F6" i="4"/>
  <c r="H6" i="4"/>
  <c r="F36" i="4"/>
  <c r="H36" i="4"/>
  <c r="F37" i="4"/>
  <c r="H37" i="4"/>
  <c r="I42" i="4"/>
  <c r="F82" i="3"/>
  <c r="H82" i="3"/>
  <c r="K82" i="3"/>
  <c r="F76" i="3"/>
  <c r="H76" i="3"/>
  <c r="K76" i="3"/>
  <c r="F70" i="3"/>
  <c r="H70" i="3"/>
  <c r="K70" i="3"/>
  <c r="F64" i="3"/>
  <c r="H64" i="3"/>
  <c r="K64" i="3"/>
  <c r="F58" i="3"/>
  <c r="H58" i="3"/>
  <c r="K58" i="3"/>
  <c r="F52" i="3"/>
  <c r="H52" i="3"/>
  <c r="K52" i="3"/>
  <c r="F46" i="3"/>
  <c r="H46" i="3"/>
  <c r="K46" i="3"/>
  <c r="F40" i="3"/>
  <c r="H40" i="3"/>
  <c r="K40" i="3"/>
  <c r="F34" i="3"/>
  <c r="H34" i="3"/>
  <c r="K34" i="3"/>
  <c r="F27" i="3"/>
  <c r="H27" i="3"/>
  <c r="K27" i="3"/>
  <c r="F20" i="3"/>
  <c r="H20" i="3"/>
  <c r="K20" i="3"/>
  <c r="F12" i="3"/>
  <c r="H12" i="3"/>
  <c r="K12" i="3"/>
  <c r="K84" i="3"/>
  <c r="F80" i="3"/>
  <c r="H80" i="3"/>
  <c r="J80" i="3"/>
  <c r="F74" i="3"/>
  <c r="H74" i="3"/>
  <c r="J74" i="3"/>
  <c r="F68" i="3"/>
  <c r="H68" i="3"/>
  <c r="J68" i="3"/>
  <c r="F56" i="3"/>
  <c r="H56" i="3"/>
  <c r="J56" i="3"/>
  <c r="F50" i="3"/>
  <c r="H50" i="3"/>
  <c r="J50" i="3"/>
  <c r="F44" i="3"/>
  <c r="H44" i="3"/>
  <c r="J44" i="3"/>
  <c r="F38" i="3"/>
  <c r="H38" i="3"/>
  <c r="J38" i="3"/>
  <c r="F32" i="3"/>
  <c r="H32" i="3"/>
  <c r="J32" i="3"/>
  <c r="F25" i="3"/>
  <c r="H25" i="3"/>
  <c r="J25" i="3"/>
  <c r="F18" i="3"/>
  <c r="H18" i="3"/>
  <c r="J18" i="3"/>
  <c r="F17" i="3"/>
  <c r="H17" i="3"/>
  <c r="J17" i="3"/>
  <c r="F10" i="3"/>
  <c r="H10" i="3"/>
  <c r="J10" i="3"/>
  <c r="F9" i="3"/>
  <c r="H9" i="3"/>
  <c r="J9" i="3"/>
  <c r="F62" i="3"/>
  <c r="H62" i="3"/>
  <c r="J62" i="3"/>
  <c r="J84" i="3"/>
  <c r="F78" i="3"/>
  <c r="H78" i="3"/>
  <c r="I78" i="3"/>
  <c r="F72" i="3"/>
  <c r="H72" i="3"/>
  <c r="I72" i="3"/>
  <c r="F66" i="3"/>
  <c r="H66" i="3"/>
  <c r="I66" i="3"/>
  <c r="F60" i="3"/>
  <c r="H60" i="3"/>
  <c r="I60" i="3"/>
  <c r="F54" i="3"/>
  <c r="H54" i="3"/>
  <c r="I54" i="3"/>
  <c r="F48" i="3"/>
  <c r="H48" i="3"/>
  <c r="I48" i="3"/>
  <c r="F42" i="3"/>
  <c r="H42" i="3"/>
  <c r="I42" i="3"/>
  <c r="F36" i="3"/>
  <c r="H36" i="3"/>
  <c r="I36" i="3"/>
  <c r="F30" i="3"/>
  <c r="H30" i="3"/>
  <c r="I30" i="3"/>
  <c r="F29" i="3"/>
  <c r="H29" i="3"/>
  <c r="I29" i="3"/>
  <c r="F23" i="3"/>
  <c r="H23" i="3"/>
  <c r="I23" i="3"/>
  <c r="F22" i="3"/>
  <c r="H22" i="3"/>
  <c r="I22" i="3"/>
  <c r="F15" i="3"/>
  <c r="H15" i="3"/>
  <c r="I15" i="3"/>
  <c r="F14" i="3"/>
  <c r="H14" i="3"/>
  <c r="I14" i="3"/>
  <c r="F7" i="3"/>
  <c r="H7" i="3"/>
  <c r="I7" i="3"/>
  <c r="F6" i="3"/>
  <c r="H6" i="3"/>
  <c r="I6" i="3"/>
  <c r="I84" i="3"/>
  <c r="H84" i="3"/>
  <c r="F84" i="3"/>
  <c r="E84" i="3"/>
  <c r="D84" i="3"/>
  <c r="F12" i="1"/>
  <c r="H12" i="1"/>
  <c r="K12" i="1"/>
  <c r="F13" i="1"/>
  <c r="H13" i="1"/>
  <c r="K13" i="1"/>
  <c r="F21" i="1"/>
  <c r="H21" i="1"/>
  <c r="K21" i="1"/>
  <c r="F22" i="1"/>
  <c r="H22" i="1"/>
  <c r="K22" i="1"/>
  <c r="F32" i="1"/>
  <c r="H32" i="1"/>
  <c r="K32" i="1"/>
  <c r="F33" i="1"/>
  <c r="H33" i="1"/>
  <c r="K33" i="1"/>
  <c r="F34" i="1"/>
  <c r="H34" i="1"/>
  <c r="K34" i="1"/>
  <c r="F35" i="1"/>
  <c r="H35" i="1"/>
  <c r="K35" i="1"/>
  <c r="F36" i="1"/>
  <c r="H36" i="1"/>
  <c r="K36" i="1"/>
  <c r="F37" i="1"/>
  <c r="H37" i="1"/>
  <c r="K37" i="1"/>
  <c r="F49" i="1"/>
  <c r="H49" i="1"/>
  <c r="K49" i="1"/>
  <c r="F55" i="1"/>
  <c r="H55" i="1"/>
  <c r="K55" i="1"/>
  <c r="F56" i="1"/>
  <c r="H56" i="1"/>
  <c r="K56" i="1"/>
  <c r="F57" i="1"/>
  <c r="H57" i="1"/>
  <c r="K57" i="1"/>
  <c r="F65" i="1"/>
  <c r="H65" i="1"/>
  <c r="K65" i="1"/>
  <c r="F72" i="1"/>
  <c r="H72" i="1"/>
  <c r="K72" i="1"/>
  <c r="F73" i="1"/>
  <c r="H73" i="1"/>
  <c r="K73" i="1"/>
  <c r="F81" i="1"/>
  <c r="H81" i="1"/>
  <c r="K81" i="1"/>
  <c r="F82" i="1"/>
  <c r="H82" i="1"/>
  <c r="K82" i="1"/>
  <c r="F83" i="1"/>
  <c r="H83" i="1"/>
  <c r="K83" i="1"/>
  <c r="F94" i="1"/>
  <c r="H94" i="1"/>
  <c r="K94" i="1"/>
  <c r="F95" i="1"/>
  <c r="H95" i="1"/>
  <c r="K95" i="1"/>
  <c r="F102" i="1"/>
  <c r="H102" i="1"/>
  <c r="K102" i="1"/>
  <c r="F103" i="1"/>
  <c r="H103" i="1"/>
  <c r="K103" i="1"/>
  <c r="F109" i="1"/>
  <c r="H109" i="1"/>
  <c r="K109" i="1"/>
  <c r="F110" i="1"/>
  <c r="H110" i="1"/>
  <c r="K110" i="1"/>
  <c r="K114" i="1"/>
  <c r="F9" i="1"/>
  <c r="H9" i="1"/>
  <c r="J9" i="1"/>
  <c r="F10" i="1"/>
  <c r="H10" i="1"/>
  <c r="J10" i="1"/>
  <c r="F18" i="1"/>
  <c r="H18" i="1"/>
  <c r="J18" i="1"/>
  <c r="F19" i="1"/>
  <c r="H19" i="1"/>
  <c r="J19" i="1"/>
  <c r="F28" i="1"/>
  <c r="H28" i="1"/>
  <c r="J28" i="1"/>
  <c r="F29" i="1"/>
  <c r="H29" i="1"/>
  <c r="J29" i="1"/>
  <c r="F30" i="1"/>
  <c r="H30" i="1"/>
  <c r="J30" i="1"/>
  <c r="F45" i="1"/>
  <c r="H45" i="1"/>
  <c r="J45" i="1"/>
  <c r="F46" i="1"/>
  <c r="H46" i="1"/>
  <c r="J46" i="1"/>
  <c r="F47" i="1"/>
  <c r="H47" i="1"/>
  <c r="J47" i="1"/>
  <c r="F53" i="1"/>
  <c r="H53" i="1"/>
  <c r="J53" i="1"/>
  <c r="F61" i="1"/>
  <c r="H61" i="1"/>
  <c r="J61" i="1"/>
  <c r="F62" i="1"/>
  <c r="H62" i="1"/>
  <c r="J62" i="1"/>
  <c r="F63" i="1"/>
  <c r="H63" i="1"/>
  <c r="J63" i="1"/>
  <c r="F69" i="1"/>
  <c r="H69" i="1"/>
  <c r="J69" i="1"/>
  <c r="F70" i="1"/>
  <c r="H70" i="1"/>
  <c r="J70" i="1"/>
  <c r="F78" i="1"/>
  <c r="H78" i="1"/>
  <c r="J78" i="1"/>
  <c r="F79" i="1"/>
  <c r="H79" i="1"/>
  <c r="J79" i="1"/>
  <c r="F89" i="1"/>
  <c r="H89" i="1"/>
  <c r="J89" i="1"/>
  <c r="F90" i="1"/>
  <c r="H90" i="1"/>
  <c r="J90" i="1"/>
  <c r="F91" i="1"/>
  <c r="H91" i="1"/>
  <c r="J91" i="1"/>
  <c r="F92" i="1"/>
  <c r="H92" i="1"/>
  <c r="J92" i="1"/>
  <c r="F99" i="1"/>
  <c r="H99" i="1"/>
  <c r="J99" i="1"/>
  <c r="F100" i="1"/>
  <c r="H100" i="1"/>
  <c r="J100" i="1"/>
  <c r="J114" i="1"/>
  <c r="F6" i="1"/>
  <c r="H6" i="1"/>
  <c r="I6" i="1"/>
  <c r="F7" i="1"/>
  <c r="H7" i="1"/>
  <c r="I7" i="1"/>
  <c r="F15" i="1"/>
  <c r="H15" i="1"/>
  <c r="I15" i="1"/>
  <c r="F16" i="1"/>
  <c r="H16" i="1"/>
  <c r="I16" i="1"/>
  <c r="F24" i="1"/>
  <c r="H24" i="1"/>
  <c r="I24" i="1"/>
  <c r="F25" i="1"/>
  <c r="H25" i="1"/>
  <c r="I25" i="1"/>
  <c r="F26" i="1"/>
  <c r="H26" i="1"/>
  <c r="I26" i="1"/>
  <c r="F39" i="1"/>
  <c r="H39" i="1"/>
  <c r="I39" i="1"/>
  <c r="F40" i="1"/>
  <c r="H40" i="1"/>
  <c r="I40" i="1"/>
  <c r="F41" i="1"/>
  <c r="H41" i="1"/>
  <c r="I41" i="1"/>
  <c r="F42" i="1"/>
  <c r="H42" i="1"/>
  <c r="I42" i="1"/>
  <c r="F43" i="1"/>
  <c r="H43" i="1"/>
  <c r="I43" i="1"/>
  <c r="F51" i="1"/>
  <c r="H51" i="1"/>
  <c r="I51" i="1"/>
  <c r="F59" i="1"/>
  <c r="H59" i="1"/>
  <c r="I59" i="1"/>
  <c r="F67" i="1"/>
  <c r="H67" i="1"/>
  <c r="I67" i="1"/>
  <c r="F75" i="1"/>
  <c r="H75" i="1"/>
  <c r="I75" i="1"/>
  <c r="F76" i="1"/>
  <c r="H76" i="1"/>
  <c r="I76" i="1"/>
  <c r="F85" i="1"/>
  <c r="H85" i="1"/>
  <c r="I85" i="1"/>
  <c r="F86" i="1"/>
  <c r="H86" i="1"/>
  <c r="I86" i="1"/>
  <c r="F87" i="1"/>
  <c r="H87" i="1"/>
  <c r="I87" i="1"/>
  <c r="F97" i="1"/>
  <c r="H97" i="1"/>
  <c r="I97" i="1"/>
  <c r="F106" i="1"/>
  <c r="H106" i="1"/>
  <c r="I106" i="1"/>
  <c r="F107" i="1"/>
  <c r="H107" i="1"/>
  <c r="I107" i="1"/>
  <c r="I114" i="1"/>
  <c r="H114" i="1"/>
  <c r="F114" i="1"/>
  <c r="E114" i="1"/>
  <c r="D114" i="1"/>
</calcChain>
</file>

<file path=xl/sharedStrings.xml><?xml version="1.0" encoding="utf-8"?>
<sst xmlns="http://schemas.openxmlformats.org/spreadsheetml/2006/main" count="1804" uniqueCount="390">
  <si>
    <t>BLOK PENTADBIRAN DAN AKTIVITI</t>
  </si>
  <si>
    <t>PELAN SILING LANTAI BAWAH</t>
  </si>
  <si>
    <t>Circuit No.</t>
  </si>
  <si>
    <t>Descriptions</t>
  </si>
  <si>
    <t>QTY</t>
  </si>
  <si>
    <t xml:space="preserve"> Connected</t>
  </si>
  <si>
    <t>Total Connected</t>
  </si>
  <si>
    <t>Diversity</t>
  </si>
  <si>
    <t xml:space="preserve">Maximun </t>
  </si>
  <si>
    <t>Rated Current</t>
  </si>
  <si>
    <t>MCB</t>
  </si>
  <si>
    <t>Cable  Size</t>
  </si>
  <si>
    <t>Locations</t>
  </si>
  <si>
    <t>Lamp type</t>
  </si>
  <si>
    <t xml:space="preserve"> Loads (W)</t>
  </si>
  <si>
    <t>Loads (W)</t>
  </si>
  <si>
    <t>Factor</t>
  </si>
  <si>
    <t>Demand(W)</t>
  </si>
  <si>
    <t>(mA) (Red)</t>
  </si>
  <si>
    <t>(mA) (Yellow)</t>
  </si>
  <si>
    <t>(mA) (Blue)</t>
  </si>
  <si>
    <t>Rating (A  SPN)</t>
  </si>
  <si>
    <t>Size</t>
  </si>
  <si>
    <t>R1</t>
  </si>
  <si>
    <t xml:space="preserve">Bilik Seminar 3 </t>
  </si>
  <si>
    <t>Rhea Low Bright 2x 36 Flouresent Lamp</t>
  </si>
  <si>
    <t>1.5mm</t>
  </si>
  <si>
    <t>Emergency Light</t>
  </si>
  <si>
    <t>1X8W (F)  EL</t>
  </si>
  <si>
    <t>Y1</t>
  </si>
  <si>
    <t>Bilik Seminar 4</t>
  </si>
  <si>
    <t>B1</t>
  </si>
  <si>
    <t>Bilik Seminar 6</t>
  </si>
  <si>
    <t xml:space="preserve"> Rhea Low Bright 2x 36 Flouresent Lamp</t>
  </si>
  <si>
    <t>R2</t>
  </si>
  <si>
    <t>Bilik Seminar 2</t>
  </si>
  <si>
    <t>Y2</t>
  </si>
  <si>
    <t>Bilik Seminar 5</t>
  </si>
  <si>
    <t>B2</t>
  </si>
  <si>
    <t>Bilik Seminar 1</t>
  </si>
  <si>
    <t>R3</t>
  </si>
  <si>
    <t xml:space="preserve">Bilik Rehat </t>
  </si>
  <si>
    <t xml:space="preserve">Minuman Ringan </t>
  </si>
  <si>
    <t>Y3</t>
  </si>
  <si>
    <t>Coridor 1</t>
  </si>
  <si>
    <t>Project Batern 1x 36 Flouresent Lamp</t>
  </si>
  <si>
    <t>Coridor 2</t>
  </si>
  <si>
    <t>Project batern 1x 36 Flouresent Lamp</t>
  </si>
  <si>
    <t>B3</t>
  </si>
  <si>
    <t>Tandas Lelaki</t>
  </si>
  <si>
    <t>Rhea Low Bright 3x 18 Flouresent Lamp</t>
  </si>
  <si>
    <t>Tandas Kakitangan Lelaki</t>
  </si>
  <si>
    <t>Tandas Orang Cacat</t>
  </si>
  <si>
    <t xml:space="preserve"> 'Keluar" Sign</t>
  </si>
  <si>
    <t>2X8W (F) "K" Sign</t>
  </si>
  <si>
    <t>Exhaust Fan</t>
  </si>
  <si>
    <t>Exhaust fan</t>
  </si>
  <si>
    <t>R4</t>
  </si>
  <si>
    <t>Stor</t>
  </si>
  <si>
    <t>Bilik Keyphone</t>
  </si>
  <si>
    <t>Pantry</t>
  </si>
  <si>
    <t>Y4</t>
  </si>
  <si>
    <t xml:space="preserve">Pejabat PBSD </t>
  </si>
  <si>
    <t>B4</t>
  </si>
  <si>
    <t>R5</t>
  </si>
  <si>
    <t>Y5</t>
  </si>
  <si>
    <t>B5</t>
  </si>
  <si>
    <t xml:space="preserve">Bilik Mesyuarat </t>
  </si>
  <si>
    <t>R6</t>
  </si>
  <si>
    <t>Y6</t>
  </si>
  <si>
    <t>Pejabat NGO</t>
  </si>
  <si>
    <t>B6</t>
  </si>
  <si>
    <t>R7</t>
  </si>
  <si>
    <t>Y7</t>
  </si>
  <si>
    <t>Bilik Kuliah 6</t>
  </si>
  <si>
    <t>B7</t>
  </si>
  <si>
    <t>Bilik Kuliah 7</t>
  </si>
  <si>
    <t>R8</t>
  </si>
  <si>
    <t>Bilik Kuliah 8</t>
  </si>
  <si>
    <t>Y8</t>
  </si>
  <si>
    <t>Bilik Kuliah 9</t>
  </si>
  <si>
    <t>B8</t>
  </si>
  <si>
    <t>Coridor 3</t>
  </si>
  <si>
    <t>Project Batern 1x36 Flouresent Lamp</t>
  </si>
  <si>
    <t>Coridor 4</t>
  </si>
  <si>
    <t>R9</t>
  </si>
  <si>
    <t>Stor NGO</t>
  </si>
  <si>
    <t>Y9</t>
  </si>
  <si>
    <t>Tandas wanita</t>
  </si>
  <si>
    <t>B9</t>
  </si>
  <si>
    <t>Ruang Legar 1</t>
  </si>
  <si>
    <t>1 x 18 W Sheratan Compact Flouresent Downlight</t>
  </si>
  <si>
    <t>R10</t>
  </si>
  <si>
    <t>Y10</t>
  </si>
  <si>
    <t>Ruang Legar 2</t>
  </si>
  <si>
    <t>B10</t>
  </si>
  <si>
    <t>Ruang Legar 3</t>
  </si>
  <si>
    <t>R11</t>
  </si>
  <si>
    <t>Tangga 1</t>
  </si>
  <si>
    <t>B11</t>
  </si>
  <si>
    <t>Tangga 2</t>
  </si>
  <si>
    <t>Y11</t>
  </si>
  <si>
    <t>Socket type</t>
  </si>
  <si>
    <t>13A S/S/0</t>
  </si>
  <si>
    <t>2.5mm</t>
  </si>
  <si>
    <t>R12</t>
  </si>
  <si>
    <t>Y12</t>
  </si>
  <si>
    <t>B12</t>
  </si>
  <si>
    <t>TOTAL</t>
  </si>
  <si>
    <t>Bilik Server</t>
  </si>
  <si>
    <t>Timbalan Dekan</t>
  </si>
  <si>
    <t>Bilik Dekan</t>
  </si>
  <si>
    <t>13A S/S/O</t>
  </si>
  <si>
    <t>13 A S/S/O</t>
  </si>
  <si>
    <t>BILIK CETAK</t>
  </si>
  <si>
    <t>BILIK MESYUARAT</t>
  </si>
  <si>
    <t>PENOLONG DAFTAR 1</t>
  </si>
  <si>
    <t>BILIK PANTRI 1</t>
  </si>
  <si>
    <t>PUSAT KEJURUTERAAN 2</t>
  </si>
  <si>
    <t>BILIK TETAMU</t>
  </si>
  <si>
    <t>PENOLONG DAFTAR 2</t>
  </si>
  <si>
    <t>PUSAT KEJURUTERAAN 1</t>
  </si>
  <si>
    <t>UTILITI</t>
  </si>
  <si>
    <t>BILIK SWITCHBOARD (ER)</t>
  </si>
  <si>
    <t>BILIK SETOR 1</t>
  </si>
  <si>
    <t>BILIK SETOR 2</t>
  </si>
  <si>
    <t>R. TANGGA/LEGAR</t>
  </si>
  <si>
    <t>TANDAS LELAKI</t>
  </si>
  <si>
    <t>TANDAS PEREMPUAN</t>
  </si>
  <si>
    <t>BILIK MESYUARAT 2</t>
  </si>
  <si>
    <t>SURAU (P)</t>
  </si>
  <si>
    <t>SURAU (L)</t>
  </si>
  <si>
    <t>BILIK PANTRI 2</t>
  </si>
  <si>
    <t xml:space="preserve"> Car Porch</t>
  </si>
  <si>
    <t xml:space="preserve">Corridors </t>
  </si>
  <si>
    <t>AIR CON Type</t>
  </si>
  <si>
    <t>4mm</t>
  </si>
  <si>
    <t>LOAD BALANCING (15% JKR STD)</t>
  </si>
  <si>
    <t>BILIK SERVER</t>
  </si>
  <si>
    <t>Hisense AN13DBG1 (1.5HP)</t>
  </si>
  <si>
    <t>TIMBALAN DEKAN</t>
  </si>
  <si>
    <t>BILIK DEKAN</t>
  </si>
  <si>
    <t>Hisense AN20DBG (2HP)</t>
  </si>
  <si>
    <t>Hisense AN10DBG2 (1HP)</t>
  </si>
  <si>
    <t>BILIK MESYUARAT 1</t>
  </si>
  <si>
    <t>BILIK MESYUARAT BESAR 2</t>
  </si>
  <si>
    <t>Hisense AN25DBG (2.5HP)</t>
  </si>
  <si>
    <t>R. TANGGA / LEGAR</t>
  </si>
  <si>
    <t>Hisense AN20DBG (2 HP)</t>
  </si>
  <si>
    <t>Hisense AN10DBG2 (1 HP)</t>
  </si>
  <si>
    <t>(mA)  (Yellow)</t>
  </si>
  <si>
    <t>(mA)  (Blue)</t>
  </si>
  <si>
    <t>FLUORESCENT 2X36W + BALLAST 6W</t>
  </si>
  <si>
    <t>ANJUNG KERETA</t>
  </si>
  <si>
    <t>EXIT SIGN CEILING</t>
  </si>
  <si>
    <t>CORRIDOR A</t>
  </si>
  <si>
    <t>FLUORESCENT 1x36W + BALLAST 6W</t>
  </si>
  <si>
    <t>FLUORESCENT 2x36W + BALLAST 6W</t>
  </si>
  <si>
    <t>CORRIDOR B</t>
  </si>
  <si>
    <t>CORRIDOR D</t>
  </si>
  <si>
    <t>CORRIDOR C</t>
  </si>
  <si>
    <t>BILIK STOR</t>
  </si>
  <si>
    <t>CORRIDOR E</t>
  </si>
  <si>
    <t>CORRIDOR F</t>
  </si>
  <si>
    <t>CORRIDOR G</t>
  </si>
  <si>
    <t>CORRIDOR H</t>
  </si>
  <si>
    <t>BILIK MESYUARAT BESAR</t>
  </si>
  <si>
    <t>CORRIDOR J</t>
  </si>
  <si>
    <t>CORRIDOR K</t>
  </si>
  <si>
    <t>CORRIDOR L</t>
  </si>
  <si>
    <t>CORRIDOR R</t>
  </si>
  <si>
    <t>CORRIDOR S</t>
  </si>
  <si>
    <t>CORRIDOR T</t>
  </si>
  <si>
    <t>FLUORESCENT 1x18W + BALLAST 6W</t>
  </si>
  <si>
    <t>CORRIDOR O</t>
  </si>
  <si>
    <t>CORRIDOR P</t>
  </si>
  <si>
    <t>CORRIDOR Q</t>
  </si>
  <si>
    <t>CORRIDOR M</t>
  </si>
  <si>
    <t>CORRIDOR N</t>
  </si>
  <si>
    <t>EMERGENCY LIGHT</t>
  </si>
  <si>
    <t>VEL 330/ST | 1x1.2W</t>
  </si>
  <si>
    <t>VKS 555/STS/RM | 1x2.5W</t>
  </si>
  <si>
    <t>VKS 570/WP/RM | 1x2.5W</t>
  </si>
  <si>
    <t>VENTILATING FAN | 15TGQZ 1x25.7W</t>
  </si>
  <si>
    <t>REGULATOR CEILING FAN | K12V0 1x54W</t>
  </si>
  <si>
    <t>BILIK STOR 2</t>
  </si>
  <si>
    <t>BILIK STOR 1</t>
  </si>
  <si>
    <t>GREEN BULIDING</t>
  </si>
  <si>
    <t>GROUND FLOOR</t>
  </si>
  <si>
    <t>Switchboard Room (ER)</t>
  </si>
  <si>
    <t>No</t>
  </si>
  <si>
    <t>Room (EN)</t>
  </si>
  <si>
    <t>Room (BM)</t>
  </si>
  <si>
    <t>Area (m²)</t>
  </si>
  <si>
    <t>Heat Factor</t>
  </si>
  <si>
    <t>Area (ft²)</t>
  </si>
  <si>
    <t>Calculated HP</t>
  </si>
  <si>
    <t>Final AC Selection</t>
  </si>
  <si>
    <t>Qty AC</t>
  </si>
  <si>
    <t>Remarks</t>
  </si>
  <si>
    <t>Server Room</t>
  </si>
  <si>
    <t>1.5 HP</t>
  </si>
  <si>
    <t>Hisense AN13DBG1 (1.5 HP)</t>
  </si>
  <si>
    <t>Deputy Dean Office</t>
  </si>
  <si>
    <t>Dean Office</t>
  </si>
  <si>
    <t>2 HP</t>
  </si>
  <si>
    <t>Printing Room</t>
  </si>
  <si>
    <t>Store Room</t>
  </si>
  <si>
    <t>-</t>
  </si>
  <si>
    <t>Ceiling Fan K12V0</t>
  </si>
  <si>
    <t>Assistant Registrar Office</t>
  </si>
  <si>
    <t>PENOLONG DAFTAR</t>
  </si>
  <si>
    <t>1 HP</t>
  </si>
  <si>
    <t>Pantry Room 1</t>
  </si>
  <si>
    <t>Exhaust Fan 15TGQZ</t>
  </si>
  <si>
    <t>Assistant Registrar Office 2</t>
  </si>
  <si>
    <t>Guest Room</t>
  </si>
  <si>
    <t>Meeting Room</t>
  </si>
  <si>
    <t>Store Room 2</t>
  </si>
  <si>
    <t>Meeting Room Large</t>
  </si>
  <si>
    <t>2.5 HP</t>
  </si>
  <si>
    <t>Hisense AN25DBG2 (2.5 HP)</t>
  </si>
  <si>
    <t>Staircase / Lobby</t>
  </si>
  <si>
    <t>Hisense AN10DBG (1 HP)</t>
  </si>
  <si>
    <t>Utility Room</t>
  </si>
  <si>
    <t>Engineering Center 1</t>
  </si>
  <si>
    <t>Hisense AN13DBG2 (1.5 HP)</t>
  </si>
  <si>
    <t>Engineering Center 2</t>
  </si>
  <si>
    <t>Male Toilet</t>
  </si>
  <si>
    <t>Female Toilet</t>
  </si>
  <si>
    <t>Female Prayer Room</t>
  </si>
  <si>
    <t>Male Prayer Room</t>
  </si>
  <si>
    <t>Pantry Room 2</t>
  </si>
  <si>
    <t>Car Porch Area</t>
  </si>
  <si>
    <t>FIRST FLOOR</t>
  </si>
  <si>
    <t xml:space="preserve">          Timbalan Dekan</t>
  </si>
  <si>
    <t xml:space="preserve">        13 A S/S/O</t>
  </si>
  <si>
    <t xml:space="preserve">          13 A S/S/O</t>
  </si>
  <si>
    <t>RUANG STAF</t>
  </si>
  <si>
    <t>PUSAT 1</t>
  </si>
  <si>
    <t>PENYELARAS  PUSAT 1</t>
  </si>
  <si>
    <t xml:space="preserve">    PENYELARAS  PUSAT 2</t>
  </si>
  <si>
    <t>PUSAT 2</t>
  </si>
  <si>
    <t>KORIDOR-1</t>
  </si>
  <si>
    <t>KORIDOR-2</t>
  </si>
  <si>
    <t>AC Power Unit [HP]</t>
  </si>
  <si>
    <t xml:space="preserve">Timbalan Dekan </t>
  </si>
  <si>
    <t>4 mm</t>
  </si>
  <si>
    <t>Mesyuarat Dekan</t>
  </si>
  <si>
    <t>Dekan</t>
  </si>
  <si>
    <t>PUSAT-2</t>
  </si>
  <si>
    <t>Pusat Kejuruuteraan (6)</t>
  </si>
  <si>
    <t>Cetak</t>
  </si>
  <si>
    <t xml:space="preserve">Pusat-1 </t>
  </si>
  <si>
    <t xml:space="preserve">Pusat Kejuruuteraan (4) </t>
  </si>
  <si>
    <t>TEAMU</t>
  </si>
  <si>
    <t>PENYELARAS PUSAT-1</t>
  </si>
  <si>
    <t>Pusat Kejuruuteraan (1)</t>
  </si>
  <si>
    <t>PENYELARAS PUSAT-2</t>
  </si>
  <si>
    <t>Pusat Kejuruuteraan (2)</t>
  </si>
  <si>
    <t>Pusat Kejuruuteraan (3)</t>
  </si>
  <si>
    <t xml:space="preserve">UTILITI </t>
  </si>
  <si>
    <t>Pusat Kejuruuteraan (5)</t>
  </si>
  <si>
    <t>PENOLONG</t>
  </si>
  <si>
    <t xml:space="preserve">Timblan Pengarah </t>
  </si>
  <si>
    <t>Fluorescent 2 x 36W+Ballast 6 W</t>
  </si>
  <si>
    <t>1.5 mm</t>
  </si>
  <si>
    <t xml:space="preserve">Bilik Server </t>
  </si>
  <si>
    <t>Fluorescent 1 x 36W+Ballast 6 W</t>
  </si>
  <si>
    <t xml:space="preserve">Bilik Setor </t>
  </si>
  <si>
    <t xml:space="preserve">Bilik Pantri </t>
  </si>
  <si>
    <t xml:space="preserve">Bilik Bincang </t>
  </si>
  <si>
    <t>Fluorescent 2 x 36W +Ballast 6 W</t>
  </si>
  <si>
    <t xml:space="preserve">Bilik Pengarah </t>
  </si>
  <si>
    <t xml:space="preserve">Bilik Tetamu </t>
  </si>
  <si>
    <t xml:space="preserve">Penolong Pendafar </t>
  </si>
  <si>
    <t xml:space="preserve">Bilik Mesyurat </t>
  </si>
  <si>
    <t xml:space="preserve">Tandas </t>
  </si>
  <si>
    <t>Fluorescent 1 x 36W +Ballast 6 W</t>
  </si>
  <si>
    <t xml:space="preserve">R. Tangga/ Legar </t>
  </si>
  <si>
    <t xml:space="preserve">Bikil Setor </t>
  </si>
  <si>
    <t xml:space="preserve">Bilik Rundingan-1 </t>
  </si>
  <si>
    <t>Bilik Rundingan-2</t>
  </si>
  <si>
    <t>Bilik Rundingan-3</t>
  </si>
  <si>
    <t>Pusat Kejuruuteraan -1</t>
  </si>
  <si>
    <t xml:space="preserve">Koridor </t>
  </si>
  <si>
    <t>Bilik Rundingan-4</t>
  </si>
  <si>
    <t>TANDAS FAN</t>
  </si>
  <si>
    <t>Ceiling Mounted Ventilating Fans</t>
  </si>
  <si>
    <t>EMERGENCY</t>
  </si>
  <si>
    <t>VEL 330/ST 1X1.2W</t>
  </si>
  <si>
    <t>VSK 570/WP/RM 1X2.5W</t>
  </si>
  <si>
    <t xml:space="preserve">CELLING FAN </t>
  </si>
  <si>
    <t>REGULATOR FANS 1X54W</t>
  </si>
  <si>
    <t xml:space="preserve">Server Room </t>
  </si>
  <si>
    <t>2.0 HP</t>
  </si>
  <si>
    <t>Assitant Dean</t>
  </si>
  <si>
    <t xml:space="preserve">Dean Meeting </t>
  </si>
  <si>
    <t>Tetamu</t>
  </si>
  <si>
    <t>1.0 HP</t>
  </si>
  <si>
    <t>Ass Registar</t>
  </si>
  <si>
    <t>Penolong Daftar</t>
  </si>
  <si>
    <t>1.0HP</t>
  </si>
  <si>
    <t>Setor</t>
  </si>
  <si>
    <t>No AC required</t>
  </si>
  <si>
    <t>Pusat 1</t>
  </si>
  <si>
    <t>Engineering Area</t>
  </si>
  <si>
    <t>Pusat Kejuruteraan</t>
  </si>
  <si>
    <t>Toilet (M)</t>
  </si>
  <si>
    <t>Tandas (L)</t>
  </si>
  <si>
    <t xml:space="preserve"> Exhaust Fan</t>
  </si>
  <si>
    <t>Toilet (F)</t>
  </si>
  <si>
    <t>Tandas (P)</t>
  </si>
  <si>
    <t>Stairs</t>
  </si>
  <si>
    <t>Tangga</t>
  </si>
  <si>
    <t>1.5HP</t>
  </si>
  <si>
    <t>Coordination Centre</t>
  </si>
  <si>
    <t>Pusat Penyelaras 1</t>
  </si>
  <si>
    <t>Utility</t>
  </si>
  <si>
    <t>Utiliti</t>
  </si>
  <si>
    <t>Pusat Penyelaras 2</t>
  </si>
  <si>
    <t>Pusat 2</t>
  </si>
  <si>
    <t>Center</t>
  </si>
  <si>
    <t>Concrete Roof</t>
  </si>
  <si>
    <t>Bumbung Konkrit</t>
  </si>
  <si>
    <t xml:space="preserve">Celling fan </t>
  </si>
  <si>
    <t xml:space="preserve">Timbalan Pengarah </t>
  </si>
  <si>
    <t xml:space="preserve">Bilik Pantir </t>
  </si>
  <si>
    <t>Penolong Pendaftar 1</t>
  </si>
  <si>
    <t>Penolong Pendaftar 2</t>
  </si>
  <si>
    <t>13A S/S/1</t>
  </si>
  <si>
    <t>Bilik Mesyuarat -1</t>
  </si>
  <si>
    <t>Koridor -2</t>
  </si>
  <si>
    <t>13A S/S/2</t>
  </si>
  <si>
    <t xml:space="preserve">Bilik Rundingan 1 </t>
  </si>
  <si>
    <t xml:space="preserve">          Bilik Rundingan 3</t>
  </si>
  <si>
    <t xml:space="preserve">Bilik Rundingan 4 </t>
  </si>
  <si>
    <t>13A S/S/3</t>
  </si>
  <si>
    <t xml:space="preserve">Koridor -1 </t>
  </si>
  <si>
    <t>Bilik Mesyuarat -2</t>
  </si>
  <si>
    <t xml:space="preserve">Bilik Baincang </t>
  </si>
  <si>
    <t xml:space="preserve">Pusat Kejuruteraan </t>
  </si>
  <si>
    <t>13A S/S/5</t>
  </si>
  <si>
    <t>2ND FLOOR</t>
  </si>
  <si>
    <t xml:space="preserve">                 B1</t>
  </si>
  <si>
    <t>Timblan Pengarah</t>
  </si>
  <si>
    <t xml:space="preserve">Bilik Bincang  </t>
  </si>
  <si>
    <t xml:space="preserve">Penolong Pendafar -1 </t>
  </si>
  <si>
    <t>Bilik Rundingan-1</t>
  </si>
  <si>
    <t>Bilik Mesyurat(1)</t>
  </si>
  <si>
    <t xml:space="preserve">Bilik Mesyurat(2) </t>
  </si>
  <si>
    <t xml:space="preserve">Penolong Pendafar -2  </t>
  </si>
  <si>
    <t xml:space="preserve">Bilik Rundingan-3 </t>
  </si>
  <si>
    <t xml:space="preserve">Pusat Kejuruuteraan (3) </t>
  </si>
  <si>
    <t>Pusat Kejuruuteraan (4)</t>
  </si>
  <si>
    <t>Bilik Bincang</t>
  </si>
  <si>
    <t>Penolong Pendafar</t>
  </si>
  <si>
    <t>Ceiling  Fan</t>
  </si>
  <si>
    <t xml:space="preserve">1.5 HP </t>
  </si>
  <si>
    <t>2  HP</t>
  </si>
  <si>
    <t>1  HP</t>
  </si>
  <si>
    <t>2*1.5 HP</t>
  </si>
  <si>
    <t xml:space="preserve">Bilik Rundingan-2 </t>
  </si>
  <si>
    <t>Bikil Rundingan-3</t>
  </si>
  <si>
    <t>Bikil Rundingan-4</t>
  </si>
  <si>
    <t xml:space="preserve">Pusat Kejuruuteraan </t>
  </si>
  <si>
    <t>4*1.5 Hp</t>
  </si>
  <si>
    <t xml:space="preserve">          1.5  HP</t>
  </si>
  <si>
    <t>TCL (W)</t>
  </si>
  <si>
    <t>MD (W)</t>
  </si>
  <si>
    <t>DB (LIGHT&amp;FAN)</t>
  </si>
  <si>
    <t>DB (AC)</t>
  </si>
  <si>
    <t>DB (POWER)</t>
  </si>
  <si>
    <t>SSB</t>
  </si>
  <si>
    <t>MSB</t>
  </si>
  <si>
    <t>GREEN GROUND FLOOR</t>
  </si>
  <si>
    <t>GREEN 1ST FLOOR</t>
  </si>
  <si>
    <t>GREEN 2ND FLOOR &amp; ROOF</t>
  </si>
  <si>
    <t>2ND FLOOR &amp; ROOF</t>
  </si>
  <si>
    <t>EXIT SIGN - ROOF</t>
  </si>
  <si>
    <t xml:space="preserve">KELUAR' SIGN 1X2.5W </t>
  </si>
  <si>
    <t>CEILING MOUNTED 1X1.2W</t>
  </si>
  <si>
    <t>EMERGENCY - ROOF</t>
  </si>
  <si>
    <t>ROOF - WALL MOUNTED</t>
  </si>
  <si>
    <t>ROOF - CEILING MOUNTED</t>
  </si>
  <si>
    <t>GREEM BUILDING</t>
  </si>
  <si>
    <t xml:space="preserve">         R3</t>
  </si>
  <si>
    <t xml:space="preserve">          R1</t>
  </si>
  <si>
    <t>Rating (A SPN)</t>
  </si>
  <si>
    <t xml:space="preserve">EMERGENCY LIGHT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</si>
</sst>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name val="Times New Roman"/>
      <family val="1"/>
    </font>
    <font>
      <sz val="22"/>
      <color theme="1"/>
      <name val="Times New Roman"/>
      <family val="1"/>
    </font>
    <font>
      <sz val="20"/>
      <color indexed="8"/>
      <name val="Times New Roman"/>
      <family val="1"/>
    </font>
    <font>
      <sz val="22"/>
      <name val="Times New Roman"/>
      <family val="1"/>
    </font>
    <font>
      <b/>
      <sz val="11"/>
      <color theme="1"/>
      <name val="Times New Roman"/>
      <family val="1"/>
    </font>
    <font>
      <sz val="20"/>
      <name val="Times New Roman"/>
      <family val="1"/>
    </font>
    <font>
      <b/>
      <sz val="20"/>
      <color rgb="FF3F3F3F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1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7" borderId="10" applyNumberFormat="0" applyAlignment="0" applyProtection="0"/>
    <xf numFmtId="0" fontId="12" fillId="0" borderId="11" applyNumberFormat="0" applyFill="0" applyAlignment="0" applyProtection="0"/>
    <xf numFmtId="0" fontId="13" fillId="8" borderId="12" applyNumberFormat="0" applyAlignment="0" applyProtection="0"/>
    <xf numFmtId="0" fontId="1" fillId="9" borderId="0" applyNumberFormat="0" applyBorder="0" applyAlignment="0" applyProtection="0"/>
  </cellStyleXfs>
  <cellXfs count="211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0" borderId="0" xfId="0" applyFont="1"/>
    <xf numFmtId="18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6" fillId="0" borderId="0" xfId="0" applyNumberFormat="1" applyFont="1"/>
    <xf numFmtId="2" fontId="2" fillId="5" borderId="1" xfId="0" applyNumberFormat="1" applyFont="1" applyFill="1" applyBorder="1"/>
    <xf numFmtId="2" fontId="2" fillId="4" borderId="1" xfId="0" applyNumberFormat="1" applyFont="1" applyFill="1" applyBorder="1"/>
    <xf numFmtId="2" fontId="2" fillId="3" borderId="1" xfId="0" applyNumberFormat="1" applyFont="1" applyFill="1" applyBorder="1"/>
    <xf numFmtId="2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2" fontId="0" fillId="0" borderId="0" xfId="0" applyNumberFormat="1"/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 vertical="top"/>
    </xf>
    <xf numFmtId="1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2" fontId="4" fillId="14" borderId="1" xfId="0" applyNumberFormat="1" applyFont="1" applyFill="1" applyBorder="1" applyAlignment="1">
      <alignment horizontal="center"/>
    </xf>
    <xf numFmtId="2" fontId="4" fillId="10" borderId="1" xfId="0" applyNumberFormat="1" applyFont="1" applyFill="1" applyBorder="1" applyAlignment="1">
      <alignment horizontal="center"/>
    </xf>
    <xf numFmtId="0" fontId="4" fillId="15" borderId="1" xfId="0" applyFont="1" applyFill="1" applyBorder="1" applyAlignment="1">
      <alignment horizontal="left"/>
    </xf>
    <xf numFmtId="1" fontId="2" fillId="0" borderId="1" xfId="0" applyNumberFormat="1" applyFont="1" applyBorder="1" applyAlignment="1">
      <alignment horizontal="center" vertical="center"/>
    </xf>
    <xf numFmtId="0" fontId="9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4" fontId="2" fillId="5" borderId="1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" fillId="10" borderId="2" xfId="0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2" fontId="2" fillId="0" borderId="0" xfId="0" applyNumberFormat="1" applyFont="1" applyAlignment="1">
      <alignment vertical="center"/>
    </xf>
    <xf numFmtId="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 vertical="center"/>
    </xf>
    <xf numFmtId="0" fontId="4" fillId="9" borderId="10" xfId="8" applyFont="1" applyFill="1" applyBorder="1" applyAlignment="1">
      <alignment horizontal="left"/>
    </xf>
    <xf numFmtId="0" fontId="4" fillId="9" borderId="10" xfId="10" applyFont="1" applyBorder="1" applyAlignment="1">
      <alignment horizontal="left"/>
    </xf>
    <xf numFmtId="0" fontId="20" fillId="7" borderId="10" xfId="7" applyFont="1" applyAlignment="1">
      <alignment horizontal="left"/>
    </xf>
    <xf numFmtId="0" fontId="2" fillId="16" borderId="10" xfId="9" applyFont="1" applyFill="1" applyBorder="1" applyAlignment="1">
      <alignment horizontal="left"/>
    </xf>
    <xf numFmtId="0" fontId="22" fillId="0" borderId="0" xfId="0" applyFont="1"/>
    <xf numFmtId="2" fontId="21" fillId="2" borderId="1" xfId="0" applyNumberFormat="1" applyFont="1" applyFill="1" applyBorder="1" applyAlignment="1">
      <alignment horizontal="center" vertical="center"/>
    </xf>
    <xf numFmtId="2" fontId="21" fillId="2" borderId="1" xfId="0" applyNumberFormat="1" applyFont="1" applyFill="1" applyBorder="1" applyAlignment="1">
      <alignment horizontal="center" vertical="center" wrapText="1"/>
    </xf>
    <xf numFmtId="2" fontId="21" fillId="2" borderId="1" xfId="0" applyNumberFormat="1" applyFont="1" applyFill="1" applyBorder="1" applyAlignment="1">
      <alignment horizontal="center"/>
    </xf>
    <xf numFmtId="2" fontId="21" fillId="3" borderId="1" xfId="0" applyNumberFormat="1" applyFont="1" applyFill="1" applyBorder="1" applyAlignment="1">
      <alignment horizontal="center"/>
    </xf>
    <xf numFmtId="2" fontId="21" fillId="4" borderId="1" xfId="0" applyNumberFormat="1" applyFont="1" applyFill="1" applyBorder="1" applyAlignment="1">
      <alignment horizontal="center"/>
    </xf>
    <xf numFmtId="2" fontId="21" fillId="5" borderId="1" xfId="0" applyNumberFormat="1" applyFont="1" applyFill="1" applyBorder="1" applyAlignment="1">
      <alignment horizontal="center"/>
    </xf>
    <xf numFmtId="2" fontId="21" fillId="3" borderId="1" xfId="0" applyNumberFormat="1" applyFont="1" applyFill="1" applyBorder="1" applyAlignment="1">
      <alignment horizontal="center" vertical="center"/>
    </xf>
    <xf numFmtId="2" fontId="21" fillId="4" borderId="1" xfId="0" applyNumberFormat="1" applyFont="1" applyFill="1" applyBorder="1" applyAlignment="1">
      <alignment horizontal="center" vertical="center"/>
    </xf>
    <xf numFmtId="2" fontId="21" fillId="5" borderId="1" xfId="0" applyNumberFormat="1" applyFont="1" applyFill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2" fontId="23" fillId="3" borderId="1" xfId="0" applyNumberFormat="1" applyFont="1" applyFill="1" applyBorder="1" applyAlignment="1">
      <alignment horizontal="center" vertical="center"/>
    </xf>
    <xf numFmtId="2" fontId="23" fillId="4" borderId="1" xfId="0" applyNumberFormat="1" applyFont="1" applyFill="1" applyBorder="1" applyAlignment="1">
      <alignment horizontal="center"/>
    </xf>
    <xf numFmtId="2" fontId="23" fillId="5" borderId="1" xfId="0" applyNumberFormat="1" applyFont="1" applyFill="1" applyBorder="1" applyAlignment="1">
      <alignment horizontal="center"/>
    </xf>
    <xf numFmtId="2" fontId="23" fillId="0" borderId="1" xfId="0" applyNumberFormat="1" applyFont="1" applyBorder="1" applyAlignment="1">
      <alignment horizontal="center"/>
    </xf>
    <xf numFmtId="2" fontId="23" fillId="4" borderId="1" xfId="0" applyNumberFormat="1" applyFont="1" applyFill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/>
    </xf>
    <xf numFmtId="2" fontId="21" fillId="0" borderId="1" xfId="0" applyNumberFormat="1" applyFont="1" applyBorder="1" applyAlignment="1">
      <alignment horizontal="center"/>
    </xf>
    <xf numFmtId="2" fontId="23" fillId="0" borderId="1" xfId="0" applyNumberFormat="1" applyFont="1" applyBorder="1" applyAlignment="1">
      <alignment horizontal="center" vertical="top"/>
    </xf>
    <xf numFmtId="1" fontId="21" fillId="0" borderId="1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0" fontId="0" fillId="0" borderId="1" xfId="0" applyBorder="1"/>
    <xf numFmtId="2" fontId="2" fillId="17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4" fillId="6" borderId="1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4" fontId="3" fillId="0" borderId="4" xfId="0" applyNumberFormat="1" applyFont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23" fillId="3" borderId="1" xfId="0" applyNumberFormat="1" applyFont="1" applyFill="1" applyBorder="1" applyAlignment="1">
      <alignment horizontal="left" vertical="center"/>
    </xf>
    <xf numFmtId="1" fontId="23" fillId="0" borderId="1" xfId="0" applyNumberFormat="1" applyFont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2" fontId="21" fillId="0" borderId="4" xfId="0" applyNumberFormat="1" applyFont="1" applyBorder="1" applyAlignment="1">
      <alignment horizontal="center"/>
    </xf>
    <xf numFmtId="2" fontId="21" fillId="0" borderId="6" xfId="0" applyNumberFormat="1" applyFont="1" applyBorder="1" applyAlignment="1">
      <alignment horizontal="center"/>
    </xf>
    <xf numFmtId="2" fontId="21" fillId="0" borderId="5" xfId="0" applyNumberFormat="1" applyFont="1" applyBorder="1" applyAlignment="1">
      <alignment horizontal="center"/>
    </xf>
    <xf numFmtId="2" fontId="21" fillId="0" borderId="0" xfId="0" applyNumberFormat="1" applyFont="1" applyAlignment="1">
      <alignment horizontal="center" vertical="center"/>
    </xf>
    <xf numFmtId="2" fontId="21" fillId="0" borderId="7" xfId="0" applyNumberFormat="1" applyFont="1" applyBorder="1" applyAlignment="1">
      <alignment horizontal="center"/>
    </xf>
    <xf numFmtId="2" fontId="21" fillId="2" borderId="1" xfId="0" applyNumberFormat="1" applyFont="1" applyFill="1" applyBorder="1" applyAlignment="1">
      <alignment horizontal="center" vertical="center"/>
    </xf>
    <xf numFmtId="2" fontId="21" fillId="2" borderId="1" xfId="0" applyNumberFormat="1" applyFont="1" applyFill="1" applyBorder="1" applyAlignment="1">
      <alignment horizontal="center" vertical="center" wrapText="1"/>
    </xf>
    <xf numFmtId="2" fontId="23" fillId="4" borderId="1" xfId="0" applyNumberFormat="1" applyFont="1" applyFill="1" applyBorder="1" applyAlignment="1">
      <alignment horizontal="center" vertical="center"/>
    </xf>
    <xf numFmtId="2" fontId="23" fillId="6" borderId="1" xfId="0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6" borderId="1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1">
    <cellStyle name="40% - Accent3" xfId="10" builtinId="39"/>
    <cellStyle name="Check Cell" xfId="9" builtinId="23"/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Linked Cell" xfId="8" builtinId="24"/>
    <cellStyle name="Normal" xfId="0" builtinId="0"/>
    <cellStyle name="Output" xfId="7" builtinId="21"/>
  </cellStyles>
  <dxfs count="0"/>
  <tableStyles count="0" defaultTableStyle="TableStyleMedium9" defaultPivotStyle="PivotStyleMedium4"/>
  <colors>
    <mruColors>
      <color rgb="FF573F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340179</xdr:colOff>
      <xdr:row>9</xdr:row>
      <xdr:rowOff>27215</xdr:rowOff>
    </xdr:from>
    <xdr:to>
      <xdr:col>25</xdr:col>
      <xdr:colOff>36701</xdr:colOff>
      <xdr:row>17</xdr:row>
      <xdr:rowOff>217714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8B73DE-EECE-4805-8494-FCE631D85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22143" y="2803072"/>
          <a:ext cx="9901879" cy="29119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176893</xdr:colOff>
      <xdr:row>7</xdr:row>
      <xdr:rowOff>13608</xdr:rowOff>
    </xdr:from>
    <xdr:to>
      <xdr:col>29</xdr:col>
      <xdr:colOff>553772</xdr:colOff>
      <xdr:row>15</xdr:row>
      <xdr:rowOff>204108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89EA30-C2AD-47FC-BA64-0255CF98F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37929" y="2354037"/>
          <a:ext cx="9901879" cy="29119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656053</xdr:colOff>
      <xdr:row>6</xdr:row>
      <xdr:rowOff>56030</xdr:rowOff>
    </xdr:from>
    <xdr:to>
      <xdr:col>28</xdr:col>
      <xdr:colOff>304550</xdr:colOff>
      <xdr:row>14</xdr:row>
      <xdr:rowOff>278546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90431D-D3F1-47F0-8BD2-F27EBC057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15008" y="2030303"/>
          <a:ext cx="10039406" cy="28548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mapedumy-my.sharepoint.com/personal/s231090057-1_studentmail_unimap_edu_my/Documents/Desktop/UniMAP/Semester/IDP%201/Progress%202/ALTAYEB/FL%20%20(lighitng%5e%20AC).xlsx" TargetMode="External"/><Relationship Id="rId1" Type="http://schemas.openxmlformats.org/officeDocument/2006/relationships/externalLinkPath" Target="ALTAYEB/FL%20%20(lighitng%5e%20AC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WPN TCL LAMPU"/>
      <sheetName val="TCL LAMPU  KOSONG"/>
      <sheetName val="JWPN TCL SOKET"/>
      <sheetName val="AC  2-FLOOR-GREEN"/>
    </sheetNames>
    <sheetDataSet>
      <sheetData sheetId="0"/>
      <sheetData sheetId="1"/>
      <sheetData sheetId="2"/>
      <sheetData sheetId="3">
        <row r="6">
          <cell r="G6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2"/>
  <sheetViews>
    <sheetView workbookViewId="0">
      <selection activeCell="B18" sqref="B18"/>
    </sheetView>
  </sheetViews>
  <sheetFormatPr defaultColWidth="8.875" defaultRowHeight="26.25" x14ac:dyDescent="0.4"/>
  <cols>
    <col min="1" max="1" width="24.5" customWidth="1"/>
    <col min="2" max="2" width="43.125" customWidth="1"/>
    <col min="3" max="3" width="62.5" style="2" customWidth="1"/>
    <col min="4" max="4" width="15.875" style="2" customWidth="1"/>
    <col min="5" max="5" width="26.125" style="2" customWidth="1"/>
    <col min="6" max="6" width="25.125" customWidth="1"/>
    <col min="7" max="7" width="21" customWidth="1"/>
    <col min="8" max="8" width="21.625" customWidth="1"/>
    <col min="9" max="9" width="24.375" customWidth="1"/>
    <col min="10" max="10" width="25" customWidth="1"/>
    <col min="11" max="12" width="27.125" customWidth="1"/>
    <col min="13" max="13" width="23.125" customWidth="1"/>
  </cols>
  <sheetData>
    <row r="1" spans="1:27" ht="25.5" x14ac:dyDescent="0.25">
      <c r="A1" s="148" t="s">
        <v>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</row>
    <row r="2" spans="1:27" ht="25.5" x14ac:dyDescent="0.25">
      <c r="A2" s="148" t="s">
        <v>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</row>
    <row r="3" spans="1:27" x14ac:dyDescent="0.4">
      <c r="A3" s="1"/>
      <c r="B3" s="1"/>
      <c r="F3" s="2"/>
      <c r="G3" s="2"/>
      <c r="H3" s="2"/>
      <c r="I3" s="2"/>
      <c r="J3" s="2"/>
      <c r="K3" s="2"/>
      <c r="L3" s="2"/>
      <c r="M3" s="2"/>
    </row>
    <row r="4" spans="1:27" x14ac:dyDescent="0.35">
      <c r="A4" s="157" t="s">
        <v>2</v>
      </c>
      <c r="B4" s="158" t="s">
        <v>3</v>
      </c>
      <c r="C4" s="158"/>
      <c r="D4" s="150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9"/>
      <c r="P4" s="9"/>
      <c r="Q4" s="9"/>
      <c r="R4" s="9"/>
      <c r="S4" s="9"/>
      <c r="T4" s="9"/>
      <c r="U4" s="9"/>
      <c r="V4" s="9"/>
      <c r="W4" s="9"/>
      <c r="X4" s="10"/>
      <c r="Y4" s="9"/>
      <c r="Z4" s="9"/>
      <c r="AA4" s="9"/>
    </row>
    <row r="5" spans="1:27" x14ac:dyDescent="0.35">
      <c r="A5" s="157"/>
      <c r="B5" s="11" t="s">
        <v>12</v>
      </c>
      <c r="C5" s="4" t="s">
        <v>13</v>
      </c>
      <c r="D5" s="150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x14ac:dyDescent="0.4">
      <c r="A6" s="156" t="s">
        <v>23</v>
      </c>
      <c r="B6" s="15" t="s">
        <v>24</v>
      </c>
      <c r="C6" s="15" t="s">
        <v>25</v>
      </c>
      <c r="D6" s="15">
        <v>4</v>
      </c>
      <c r="E6" s="15">
        <v>84</v>
      </c>
      <c r="F6" s="15">
        <f>E6*D6</f>
        <v>336</v>
      </c>
      <c r="G6" s="15">
        <v>0.8</v>
      </c>
      <c r="H6" s="16">
        <f>F6*G6</f>
        <v>268.8</v>
      </c>
      <c r="I6" s="16">
        <f>(H6/240)*1000</f>
        <v>1120</v>
      </c>
      <c r="J6" s="17"/>
      <c r="K6" s="17"/>
      <c r="L6" s="15">
        <v>6</v>
      </c>
      <c r="M6" s="15" t="s">
        <v>26</v>
      </c>
      <c r="N6" s="9"/>
      <c r="O6" s="9"/>
    </row>
    <row r="7" spans="1:27" x14ac:dyDescent="0.25">
      <c r="A7" s="156"/>
      <c r="B7" s="15" t="s">
        <v>27</v>
      </c>
      <c r="C7" s="15" t="s">
        <v>28</v>
      </c>
      <c r="D7" s="15">
        <v>1</v>
      </c>
      <c r="E7" s="15">
        <v>10</v>
      </c>
      <c r="F7" s="15">
        <f t="shared" ref="F7" si="0">E7*D7</f>
        <v>10</v>
      </c>
      <c r="G7" s="15">
        <v>0.8</v>
      </c>
      <c r="H7" s="16">
        <f t="shared" ref="H7" si="1">F7*G7</f>
        <v>8</v>
      </c>
      <c r="I7" s="16">
        <f t="shared" ref="I7" si="2">(H7/240)*1000</f>
        <v>33.333333333333336</v>
      </c>
      <c r="J7" s="16"/>
      <c r="K7" s="15"/>
      <c r="L7" s="15">
        <v>6</v>
      </c>
      <c r="M7" s="15" t="s">
        <v>26</v>
      </c>
      <c r="N7" s="9"/>
      <c r="O7" s="9"/>
    </row>
    <row r="8" spans="1:27" x14ac:dyDescent="0.25">
      <c r="A8" s="18"/>
      <c r="B8" s="15"/>
      <c r="C8" s="15"/>
      <c r="D8" s="15"/>
      <c r="E8" s="15"/>
      <c r="F8" s="15"/>
      <c r="G8" s="15"/>
      <c r="H8" s="16"/>
      <c r="I8" s="16"/>
      <c r="J8" s="15"/>
      <c r="K8" s="15"/>
      <c r="L8" s="15"/>
      <c r="M8" s="15" t="s">
        <v>26</v>
      </c>
      <c r="N8" s="9"/>
      <c r="O8" s="9"/>
    </row>
    <row r="9" spans="1:27" x14ac:dyDescent="0.4">
      <c r="A9" s="155" t="s">
        <v>29</v>
      </c>
      <c r="B9" s="15" t="s">
        <v>30</v>
      </c>
      <c r="C9" s="15" t="s">
        <v>25</v>
      </c>
      <c r="D9" s="15">
        <v>4</v>
      </c>
      <c r="E9" s="15">
        <v>84</v>
      </c>
      <c r="F9" s="15">
        <f>E9*D9</f>
        <v>336</v>
      </c>
      <c r="G9" s="15">
        <v>0.8</v>
      </c>
      <c r="H9" s="16">
        <f>F9*G9</f>
        <v>268.8</v>
      </c>
      <c r="I9" s="15"/>
      <c r="J9" s="19">
        <f>(H9/240)*1000</f>
        <v>1120</v>
      </c>
      <c r="K9" s="17"/>
      <c r="L9" s="15">
        <v>6</v>
      </c>
      <c r="M9" s="15" t="s">
        <v>26</v>
      </c>
      <c r="N9" s="9"/>
      <c r="O9" s="9"/>
    </row>
    <row r="10" spans="1:27" x14ac:dyDescent="0.4">
      <c r="A10" s="155"/>
      <c r="B10" s="15" t="s">
        <v>27</v>
      </c>
      <c r="C10" s="15" t="s">
        <v>28</v>
      </c>
      <c r="D10" s="15">
        <v>1</v>
      </c>
      <c r="E10" s="15">
        <v>10</v>
      </c>
      <c r="F10" s="15">
        <f>E10*D10</f>
        <v>10</v>
      </c>
      <c r="G10" s="15">
        <v>0.8</v>
      </c>
      <c r="H10" s="16">
        <f>F10*G10</f>
        <v>8</v>
      </c>
      <c r="I10" s="15"/>
      <c r="J10" s="19">
        <f>(H10/240)*1000</f>
        <v>33.333333333333336</v>
      </c>
      <c r="K10" s="17"/>
      <c r="L10" s="15">
        <v>6</v>
      </c>
      <c r="M10" s="15" t="s">
        <v>26</v>
      </c>
      <c r="N10" s="9"/>
      <c r="O10" s="9"/>
    </row>
    <row r="11" spans="1:27" x14ac:dyDescent="0.4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15"/>
      <c r="M11" s="15"/>
      <c r="N11" s="9"/>
      <c r="O11" s="9"/>
    </row>
    <row r="12" spans="1:27" x14ac:dyDescent="0.4">
      <c r="A12" s="159" t="s">
        <v>31</v>
      </c>
      <c r="B12" s="15" t="s">
        <v>32</v>
      </c>
      <c r="C12" s="15" t="s">
        <v>33</v>
      </c>
      <c r="D12" s="15">
        <v>4</v>
      </c>
      <c r="E12" s="15">
        <v>84</v>
      </c>
      <c r="F12" s="15">
        <f>E12*D12</f>
        <v>336</v>
      </c>
      <c r="G12" s="15">
        <v>0.8</v>
      </c>
      <c r="H12" s="16">
        <f>F12*G12</f>
        <v>268.8</v>
      </c>
      <c r="I12" s="15"/>
      <c r="J12" s="17"/>
      <c r="K12" s="19">
        <f>(H12/240)*1000</f>
        <v>1120</v>
      </c>
      <c r="L12" s="15">
        <v>6</v>
      </c>
      <c r="M12" s="15" t="s">
        <v>26</v>
      </c>
      <c r="N12" s="9"/>
      <c r="O12" s="9"/>
    </row>
    <row r="13" spans="1:27" x14ac:dyDescent="0.4">
      <c r="A13" s="159"/>
      <c r="B13" s="15" t="s">
        <v>27</v>
      </c>
      <c r="C13" s="15" t="s">
        <v>28</v>
      </c>
      <c r="D13" s="15">
        <v>1</v>
      </c>
      <c r="E13" s="15">
        <v>10</v>
      </c>
      <c r="F13" s="15">
        <f>E13*D13</f>
        <v>10</v>
      </c>
      <c r="G13" s="15">
        <v>0.8</v>
      </c>
      <c r="H13" s="16">
        <f>F13*G13</f>
        <v>8</v>
      </c>
      <c r="I13" s="15"/>
      <c r="J13" s="17"/>
      <c r="K13" s="19">
        <f>(H13/240)*1000</f>
        <v>33.333333333333336</v>
      </c>
      <c r="L13" s="15">
        <v>6</v>
      </c>
      <c r="M13" s="15" t="s">
        <v>26</v>
      </c>
      <c r="N13" s="9"/>
      <c r="O13" s="9"/>
    </row>
    <row r="14" spans="1:27" x14ac:dyDescent="0.4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15"/>
      <c r="M14" s="15"/>
      <c r="N14" s="9"/>
      <c r="O14" s="9"/>
    </row>
    <row r="15" spans="1:27" x14ac:dyDescent="0.4">
      <c r="A15" s="156" t="s">
        <v>34</v>
      </c>
      <c r="B15" s="15" t="s">
        <v>35</v>
      </c>
      <c r="C15" s="15" t="s">
        <v>33</v>
      </c>
      <c r="D15" s="15">
        <v>4</v>
      </c>
      <c r="E15" s="15">
        <v>84</v>
      </c>
      <c r="F15" s="15">
        <f>E15*D15</f>
        <v>336</v>
      </c>
      <c r="G15" s="15">
        <v>0.8</v>
      </c>
      <c r="H15" s="16">
        <f>F15*G15</f>
        <v>268.8</v>
      </c>
      <c r="I15" s="16">
        <f>(H15/240)*1000</f>
        <v>1120</v>
      </c>
      <c r="J15" s="17"/>
      <c r="K15" s="17"/>
      <c r="L15" s="15">
        <v>6</v>
      </c>
      <c r="M15" s="15" t="s">
        <v>26</v>
      </c>
      <c r="N15" s="9"/>
      <c r="O15" s="9"/>
    </row>
    <row r="16" spans="1:27" x14ac:dyDescent="0.4">
      <c r="A16" s="156"/>
      <c r="B16" s="15" t="s">
        <v>27</v>
      </c>
      <c r="C16" s="15" t="s">
        <v>28</v>
      </c>
      <c r="D16" s="15">
        <v>1</v>
      </c>
      <c r="E16" s="15">
        <v>10</v>
      </c>
      <c r="F16" s="15">
        <f>E16*D16</f>
        <v>10</v>
      </c>
      <c r="G16" s="15">
        <v>0.8</v>
      </c>
      <c r="H16" s="16">
        <f>F16*G16</f>
        <v>8</v>
      </c>
      <c r="I16" s="16">
        <f>(H16/240)*1000</f>
        <v>33.333333333333336</v>
      </c>
      <c r="J16" s="17"/>
      <c r="K16" s="17"/>
      <c r="L16" s="15">
        <v>6</v>
      </c>
      <c r="M16" s="15" t="s">
        <v>26</v>
      </c>
      <c r="N16" s="9"/>
      <c r="O16" s="9"/>
    </row>
    <row r="17" spans="1:15" x14ac:dyDescent="0.4">
      <c r="A17" s="20"/>
      <c r="B17" s="21"/>
      <c r="C17" s="21"/>
      <c r="D17" s="21"/>
      <c r="E17" s="21"/>
      <c r="F17" s="15"/>
      <c r="G17" s="21"/>
      <c r="H17" s="21"/>
      <c r="I17" s="21"/>
      <c r="J17" s="21"/>
      <c r="K17" s="21"/>
      <c r="L17" s="15"/>
      <c r="M17" s="15"/>
      <c r="N17" s="9"/>
      <c r="O17" s="9"/>
    </row>
    <row r="18" spans="1:15" x14ac:dyDescent="0.4">
      <c r="A18" s="155" t="s">
        <v>36</v>
      </c>
      <c r="B18" s="15" t="s">
        <v>37</v>
      </c>
      <c r="C18" s="15" t="s">
        <v>25</v>
      </c>
      <c r="D18" s="15">
        <v>4</v>
      </c>
      <c r="E18" s="15">
        <v>84</v>
      </c>
      <c r="F18" s="15">
        <f>E18*D18</f>
        <v>336</v>
      </c>
      <c r="G18" s="15">
        <v>0.8</v>
      </c>
      <c r="H18" s="16">
        <f>F18*G18</f>
        <v>268.8</v>
      </c>
      <c r="I18" s="17"/>
      <c r="J18" s="19">
        <f>(H18/240)*1000</f>
        <v>1120</v>
      </c>
      <c r="K18" s="17"/>
      <c r="L18" s="15">
        <v>6</v>
      </c>
      <c r="M18" s="15" t="s">
        <v>26</v>
      </c>
      <c r="N18" s="9"/>
      <c r="O18" s="9"/>
    </row>
    <row r="19" spans="1:15" x14ac:dyDescent="0.4">
      <c r="A19" s="155"/>
      <c r="B19" s="15" t="s">
        <v>27</v>
      </c>
      <c r="C19" s="15" t="s">
        <v>28</v>
      </c>
      <c r="D19" s="15">
        <v>1</v>
      </c>
      <c r="E19" s="15">
        <v>10</v>
      </c>
      <c r="F19" s="15">
        <f>E19*D19</f>
        <v>10</v>
      </c>
      <c r="G19" s="15">
        <v>0.8</v>
      </c>
      <c r="H19" s="16">
        <f>F19*G19</f>
        <v>8</v>
      </c>
      <c r="I19" s="17"/>
      <c r="J19" s="19">
        <f>(H19/240)*1000</f>
        <v>33.333333333333336</v>
      </c>
      <c r="K19" s="17"/>
      <c r="L19" s="15">
        <v>6</v>
      </c>
      <c r="M19" s="15" t="s">
        <v>26</v>
      </c>
      <c r="N19" s="9"/>
      <c r="O19" s="9"/>
    </row>
    <row r="20" spans="1:15" x14ac:dyDescent="0.4">
      <c r="A20" s="18"/>
      <c r="B20" s="15"/>
      <c r="C20" s="15"/>
      <c r="D20" s="15"/>
      <c r="E20" s="15"/>
      <c r="F20" s="15"/>
      <c r="G20" s="15"/>
      <c r="H20" s="16"/>
      <c r="I20" s="16"/>
      <c r="J20" s="17"/>
      <c r="K20" s="17"/>
      <c r="L20" s="15"/>
      <c r="M20" s="15"/>
      <c r="N20" s="9"/>
      <c r="O20" s="9"/>
    </row>
    <row r="21" spans="1:15" x14ac:dyDescent="0.4">
      <c r="A21" s="159" t="s">
        <v>38</v>
      </c>
      <c r="B21" s="15" t="s">
        <v>39</v>
      </c>
      <c r="C21" s="15" t="s">
        <v>33</v>
      </c>
      <c r="D21" s="15">
        <v>6</v>
      </c>
      <c r="E21" s="15">
        <v>84</v>
      </c>
      <c r="F21" s="15">
        <f>E21*D21</f>
        <v>504</v>
      </c>
      <c r="G21" s="15">
        <v>0.8</v>
      </c>
      <c r="H21" s="16">
        <f>F21*G21</f>
        <v>403.20000000000005</v>
      </c>
      <c r="I21" s="17"/>
      <c r="J21" s="17"/>
      <c r="K21" s="19">
        <f>(H21/240)*1000</f>
        <v>1680.0000000000002</v>
      </c>
      <c r="L21" s="15">
        <v>6</v>
      </c>
      <c r="M21" s="15" t="s">
        <v>26</v>
      </c>
      <c r="N21" s="9"/>
      <c r="O21" s="9"/>
    </row>
    <row r="22" spans="1:15" x14ac:dyDescent="0.4">
      <c r="A22" s="159"/>
      <c r="B22" s="15" t="s">
        <v>27</v>
      </c>
      <c r="C22" s="15" t="s">
        <v>28</v>
      </c>
      <c r="D22" s="15">
        <v>1</v>
      </c>
      <c r="E22" s="15">
        <v>10</v>
      </c>
      <c r="F22" s="15">
        <f>E22*D22</f>
        <v>10</v>
      </c>
      <c r="G22" s="15">
        <v>0.8</v>
      </c>
      <c r="H22" s="16">
        <f>F22*G22</f>
        <v>8</v>
      </c>
      <c r="I22" s="17"/>
      <c r="J22" s="17"/>
      <c r="K22" s="19">
        <f>(H22/240)*1000</f>
        <v>33.333333333333336</v>
      </c>
      <c r="L22" s="15">
        <v>6</v>
      </c>
      <c r="M22" s="15" t="s">
        <v>26</v>
      </c>
      <c r="N22" s="9"/>
      <c r="O22" s="9"/>
    </row>
    <row r="23" spans="1:15" x14ac:dyDescent="0.4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5"/>
      <c r="M23" s="15"/>
      <c r="N23" s="9"/>
      <c r="O23" s="9"/>
    </row>
    <row r="24" spans="1:15" x14ac:dyDescent="0.4">
      <c r="A24" s="156" t="s">
        <v>40</v>
      </c>
      <c r="B24" s="15" t="s">
        <v>41</v>
      </c>
      <c r="C24" s="15" t="s">
        <v>25</v>
      </c>
      <c r="D24" s="17">
        <v>3</v>
      </c>
      <c r="E24" s="15">
        <v>84</v>
      </c>
      <c r="F24" s="15">
        <f>E24*D24</f>
        <v>252</v>
      </c>
      <c r="G24" s="15">
        <v>0.8</v>
      </c>
      <c r="H24" s="16">
        <f>F24*G24</f>
        <v>201.60000000000002</v>
      </c>
      <c r="I24" s="16">
        <f>(H24/240)*1000</f>
        <v>840.00000000000011</v>
      </c>
      <c r="J24" s="21"/>
      <c r="K24" s="21"/>
      <c r="L24" s="15">
        <v>6</v>
      </c>
      <c r="M24" s="15" t="s">
        <v>26</v>
      </c>
      <c r="N24" s="9"/>
      <c r="O24" s="9"/>
    </row>
    <row r="25" spans="1:15" x14ac:dyDescent="0.4">
      <c r="A25" s="156"/>
      <c r="B25" s="15" t="s">
        <v>42</v>
      </c>
      <c r="C25" s="15" t="s">
        <v>25</v>
      </c>
      <c r="D25" s="17">
        <v>3</v>
      </c>
      <c r="E25" s="15">
        <v>84</v>
      </c>
      <c r="F25" s="15">
        <f>E25*D25</f>
        <v>252</v>
      </c>
      <c r="G25" s="15">
        <v>0.8</v>
      </c>
      <c r="H25" s="16">
        <f>F25*G25</f>
        <v>201.60000000000002</v>
      </c>
      <c r="I25" s="16">
        <f>(H25/240)*1000</f>
        <v>840.00000000000011</v>
      </c>
      <c r="J25" s="21"/>
      <c r="K25" s="21"/>
      <c r="L25" s="15">
        <v>6</v>
      </c>
      <c r="M25" s="15" t="s">
        <v>26</v>
      </c>
      <c r="N25" s="9"/>
      <c r="O25" s="9"/>
    </row>
    <row r="26" spans="1:15" x14ac:dyDescent="0.4">
      <c r="A26" s="156"/>
      <c r="B26" s="15" t="s">
        <v>27</v>
      </c>
      <c r="C26" s="15" t="s">
        <v>28</v>
      </c>
      <c r="D26" s="15">
        <v>2</v>
      </c>
      <c r="E26" s="15">
        <v>10</v>
      </c>
      <c r="F26" s="15">
        <f t="shared" ref="F26" si="3">E26*D26</f>
        <v>20</v>
      </c>
      <c r="G26" s="15">
        <v>0.8</v>
      </c>
      <c r="H26" s="16">
        <f>F26*G26</f>
        <v>16</v>
      </c>
      <c r="I26" s="16">
        <f t="shared" ref="I26" si="4">(H26/240)*1000</f>
        <v>66.666666666666671</v>
      </c>
      <c r="J26" s="21"/>
      <c r="K26" s="21"/>
      <c r="L26" s="15">
        <v>6</v>
      </c>
      <c r="M26" s="15" t="s">
        <v>26</v>
      </c>
      <c r="N26" s="9"/>
      <c r="O26" s="9"/>
    </row>
    <row r="27" spans="1:15" x14ac:dyDescent="0.4">
      <c r="A27" s="18"/>
      <c r="B27" s="15"/>
      <c r="C27" s="15"/>
      <c r="D27" s="15"/>
      <c r="E27" s="15"/>
      <c r="F27" s="15"/>
      <c r="G27" s="15"/>
      <c r="H27" s="16"/>
      <c r="I27" s="16"/>
      <c r="J27" s="21"/>
      <c r="K27" s="21"/>
      <c r="L27" s="15"/>
      <c r="M27" s="15"/>
      <c r="N27" s="9"/>
      <c r="O27" s="9"/>
    </row>
    <row r="28" spans="1:15" x14ac:dyDescent="0.4">
      <c r="A28" s="155" t="s">
        <v>43</v>
      </c>
      <c r="B28" s="15" t="s">
        <v>44</v>
      </c>
      <c r="C28" s="15" t="s">
        <v>45</v>
      </c>
      <c r="D28" s="15">
        <v>2</v>
      </c>
      <c r="E28" s="15">
        <v>42</v>
      </c>
      <c r="F28" s="15">
        <f>E28*D28</f>
        <v>84</v>
      </c>
      <c r="G28" s="15">
        <v>0.8</v>
      </c>
      <c r="H28" s="16">
        <f>F28*G28</f>
        <v>67.2</v>
      </c>
      <c r="I28" s="21"/>
      <c r="J28" s="19">
        <f>(H28/240)*1000</f>
        <v>280</v>
      </c>
      <c r="K28" s="21"/>
      <c r="L28" s="15">
        <v>6</v>
      </c>
      <c r="M28" s="15" t="s">
        <v>26</v>
      </c>
      <c r="N28" s="9"/>
      <c r="O28" s="9"/>
    </row>
    <row r="29" spans="1:15" x14ac:dyDescent="0.4">
      <c r="A29" s="155"/>
      <c r="B29" s="15" t="s">
        <v>46</v>
      </c>
      <c r="C29" s="15" t="s">
        <v>47</v>
      </c>
      <c r="D29" s="15">
        <v>3</v>
      </c>
      <c r="E29" s="15">
        <v>42</v>
      </c>
      <c r="F29" s="15">
        <f>E29*D29</f>
        <v>126</v>
      </c>
      <c r="G29" s="15">
        <v>0.8</v>
      </c>
      <c r="H29" s="16">
        <f>F29*G29</f>
        <v>100.80000000000001</v>
      </c>
      <c r="I29" s="21"/>
      <c r="J29" s="19">
        <f>(H29/240)*1000</f>
        <v>420.00000000000006</v>
      </c>
      <c r="K29" s="21"/>
      <c r="L29" s="15">
        <v>6</v>
      </c>
      <c r="M29" s="15" t="s">
        <v>26</v>
      </c>
      <c r="N29" s="9"/>
      <c r="O29" s="9"/>
    </row>
    <row r="30" spans="1:15" x14ac:dyDescent="0.4">
      <c r="A30" s="155"/>
      <c r="B30" s="15" t="s">
        <v>27</v>
      </c>
      <c r="C30" s="15" t="s">
        <v>28</v>
      </c>
      <c r="D30" s="15">
        <v>2</v>
      </c>
      <c r="E30" s="15">
        <v>10</v>
      </c>
      <c r="F30" s="15">
        <f t="shared" ref="F30" si="5">E30*D30</f>
        <v>20</v>
      </c>
      <c r="G30" s="15">
        <v>0.8</v>
      </c>
      <c r="H30" s="16">
        <f>F30*G30</f>
        <v>16</v>
      </c>
      <c r="I30" s="21"/>
      <c r="J30" s="19">
        <f>(H30/240)*1000</f>
        <v>66.666666666666671</v>
      </c>
      <c r="K30" s="21"/>
      <c r="L30" s="15">
        <v>6</v>
      </c>
      <c r="M30" s="15" t="s">
        <v>26</v>
      </c>
      <c r="N30" s="9"/>
      <c r="O30" s="9"/>
    </row>
    <row r="31" spans="1:15" x14ac:dyDescent="0.4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5"/>
      <c r="M31" s="15"/>
      <c r="N31" s="9"/>
      <c r="O31" s="9"/>
    </row>
    <row r="32" spans="1:15" x14ac:dyDescent="0.4">
      <c r="A32" s="159" t="s">
        <v>48</v>
      </c>
      <c r="B32" s="15" t="s">
        <v>49</v>
      </c>
      <c r="C32" s="15" t="s">
        <v>50</v>
      </c>
      <c r="D32" s="15">
        <v>2</v>
      </c>
      <c r="E32" s="15">
        <v>72</v>
      </c>
      <c r="F32" s="15">
        <f>E32*D32</f>
        <v>144</v>
      </c>
      <c r="G32" s="15">
        <v>0.8</v>
      </c>
      <c r="H32" s="16">
        <f>F32*G32</f>
        <v>115.2</v>
      </c>
      <c r="I32" s="21"/>
      <c r="J32" s="21"/>
      <c r="K32" s="19">
        <f>(H32/240)*1000</f>
        <v>480.00000000000006</v>
      </c>
      <c r="L32" s="15">
        <v>6</v>
      </c>
      <c r="M32" s="15" t="s">
        <v>26</v>
      </c>
      <c r="N32" s="9"/>
      <c r="O32" s="9"/>
    </row>
    <row r="33" spans="1:15" x14ac:dyDescent="0.4">
      <c r="A33" s="159"/>
      <c r="B33" s="15" t="s">
        <v>51</v>
      </c>
      <c r="C33" s="15" t="s">
        <v>50</v>
      </c>
      <c r="D33" s="15">
        <v>1</v>
      </c>
      <c r="E33" s="15">
        <v>72</v>
      </c>
      <c r="F33" s="15">
        <f>E33*D33</f>
        <v>72</v>
      </c>
      <c r="G33" s="15">
        <v>0.8</v>
      </c>
      <c r="H33" s="16">
        <f>F33*G33</f>
        <v>57.6</v>
      </c>
      <c r="I33" s="21"/>
      <c r="J33" s="21"/>
      <c r="K33" s="19">
        <f>(H33/240)*1000</f>
        <v>240.00000000000003</v>
      </c>
      <c r="L33" s="15">
        <v>6</v>
      </c>
      <c r="M33" s="15" t="s">
        <v>26</v>
      </c>
      <c r="N33" s="9"/>
      <c r="O33" s="9"/>
    </row>
    <row r="34" spans="1:15" x14ac:dyDescent="0.4">
      <c r="A34" s="159"/>
      <c r="B34" s="15" t="s">
        <v>52</v>
      </c>
      <c r="C34" s="15" t="s">
        <v>50</v>
      </c>
      <c r="D34" s="15">
        <v>1</v>
      </c>
      <c r="E34" s="15">
        <v>72</v>
      </c>
      <c r="F34" s="15">
        <f>E34*D34</f>
        <v>72</v>
      </c>
      <c r="G34" s="15">
        <v>0.8</v>
      </c>
      <c r="H34" s="16">
        <f>F34*G34</f>
        <v>57.6</v>
      </c>
      <c r="I34" s="21"/>
      <c r="J34" s="21"/>
      <c r="K34" s="19">
        <f>(H34/240)*1000</f>
        <v>240.00000000000003</v>
      </c>
      <c r="L34" s="15">
        <v>6</v>
      </c>
      <c r="M34" s="15" t="s">
        <v>26</v>
      </c>
      <c r="N34" s="9"/>
      <c r="O34" s="9"/>
    </row>
    <row r="35" spans="1:15" x14ac:dyDescent="0.4">
      <c r="A35" s="159"/>
      <c r="B35" s="15" t="s">
        <v>27</v>
      </c>
      <c r="C35" s="15" t="s">
        <v>28</v>
      </c>
      <c r="D35" s="15">
        <v>3</v>
      </c>
      <c r="E35" s="15">
        <v>10</v>
      </c>
      <c r="F35" s="15">
        <f t="shared" ref="F35:F37" si="6">E35*D35</f>
        <v>30</v>
      </c>
      <c r="G35" s="15">
        <v>0.8</v>
      </c>
      <c r="H35" s="16">
        <f>F35*G35</f>
        <v>24</v>
      </c>
      <c r="I35" s="21"/>
      <c r="J35" s="21"/>
      <c r="K35" s="19">
        <f t="shared" ref="K35:K37" si="7">(H35/240)*1000</f>
        <v>100</v>
      </c>
      <c r="L35" s="15">
        <v>6</v>
      </c>
      <c r="M35" s="15" t="s">
        <v>26</v>
      </c>
      <c r="N35" s="9"/>
      <c r="O35" s="9"/>
    </row>
    <row r="36" spans="1:15" x14ac:dyDescent="0.4">
      <c r="A36" s="159"/>
      <c r="B36" s="15" t="s">
        <v>53</v>
      </c>
      <c r="C36" s="15" t="s">
        <v>54</v>
      </c>
      <c r="D36" s="15">
        <v>3</v>
      </c>
      <c r="E36" s="15">
        <v>20</v>
      </c>
      <c r="F36" s="15">
        <f t="shared" si="6"/>
        <v>60</v>
      </c>
      <c r="G36" s="15">
        <v>0.8</v>
      </c>
      <c r="H36" s="16">
        <f t="shared" ref="H36:H37" si="8">F36*G36</f>
        <v>48</v>
      </c>
      <c r="I36" s="21"/>
      <c r="J36" s="21"/>
      <c r="K36" s="19">
        <f t="shared" si="7"/>
        <v>200</v>
      </c>
      <c r="L36" s="15">
        <v>6</v>
      </c>
      <c r="M36" s="15" t="s">
        <v>26</v>
      </c>
      <c r="N36" s="9"/>
      <c r="O36" s="9"/>
    </row>
    <row r="37" spans="1:15" x14ac:dyDescent="0.4">
      <c r="A37" s="159"/>
      <c r="B37" s="15" t="s">
        <v>55</v>
      </c>
      <c r="C37" s="15" t="s">
        <v>56</v>
      </c>
      <c r="D37" s="15">
        <v>1</v>
      </c>
      <c r="E37" s="15">
        <v>70</v>
      </c>
      <c r="F37" s="15">
        <f t="shared" si="6"/>
        <v>70</v>
      </c>
      <c r="G37" s="15">
        <v>0.8</v>
      </c>
      <c r="H37" s="16">
        <f t="shared" si="8"/>
        <v>56</v>
      </c>
      <c r="I37" s="21"/>
      <c r="J37" s="21"/>
      <c r="K37" s="19">
        <f t="shared" si="7"/>
        <v>233.33333333333334</v>
      </c>
      <c r="L37" s="15">
        <v>6</v>
      </c>
      <c r="M37" s="15" t="s">
        <v>26</v>
      </c>
      <c r="N37" s="9"/>
      <c r="O37" s="9"/>
    </row>
    <row r="38" spans="1:15" x14ac:dyDescent="0.4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15"/>
      <c r="N38" s="9"/>
      <c r="O38" s="9"/>
    </row>
    <row r="39" spans="1:15" x14ac:dyDescent="0.4">
      <c r="A39" s="156" t="s">
        <v>57</v>
      </c>
      <c r="B39" s="15" t="s">
        <v>58</v>
      </c>
      <c r="C39" s="15" t="s">
        <v>50</v>
      </c>
      <c r="D39" s="15">
        <v>2</v>
      </c>
      <c r="E39" s="15">
        <v>72</v>
      </c>
      <c r="F39" s="15">
        <f>E39*D39</f>
        <v>144</v>
      </c>
      <c r="G39" s="15">
        <v>0.8</v>
      </c>
      <c r="H39" s="16">
        <f>F39*G39</f>
        <v>115.2</v>
      </c>
      <c r="I39" s="16">
        <f>(H39/240)*1000</f>
        <v>480.00000000000006</v>
      </c>
      <c r="J39" s="21"/>
      <c r="K39" s="21"/>
      <c r="L39" s="15">
        <v>6</v>
      </c>
      <c r="M39" s="15" t="s">
        <v>26</v>
      </c>
      <c r="N39" s="9"/>
      <c r="O39" s="9"/>
    </row>
    <row r="40" spans="1:15" x14ac:dyDescent="0.4">
      <c r="A40" s="156"/>
      <c r="B40" s="15" t="s">
        <v>59</v>
      </c>
      <c r="C40" s="15" t="s">
        <v>50</v>
      </c>
      <c r="D40" s="15">
        <v>4</v>
      </c>
      <c r="E40" s="15">
        <v>72</v>
      </c>
      <c r="F40" s="15">
        <f>E40*D40</f>
        <v>288</v>
      </c>
      <c r="G40" s="15">
        <v>0.8</v>
      </c>
      <c r="H40" s="16">
        <f>F40*G40</f>
        <v>230.4</v>
      </c>
      <c r="I40" s="16">
        <f>(H40/240)*1000</f>
        <v>960.00000000000011</v>
      </c>
      <c r="J40" s="21"/>
      <c r="K40" s="21"/>
      <c r="L40" s="15">
        <v>6</v>
      </c>
      <c r="M40" s="15" t="s">
        <v>26</v>
      </c>
      <c r="N40" s="9"/>
      <c r="O40" s="9"/>
    </row>
    <row r="41" spans="1:15" x14ac:dyDescent="0.4">
      <c r="A41" s="156"/>
      <c r="B41" s="15" t="s">
        <v>60</v>
      </c>
      <c r="C41" s="15" t="s">
        <v>50</v>
      </c>
      <c r="D41" s="15">
        <v>1</v>
      </c>
      <c r="E41" s="15">
        <v>72</v>
      </c>
      <c r="F41" s="15">
        <f>E41*D41</f>
        <v>72</v>
      </c>
      <c r="G41" s="15">
        <v>0.8</v>
      </c>
      <c r="H41" s="16">
        <f>F41*G41</f>
        <v>57.6</v>
      </c>
      <c r="I41" s="16">
        <f>(H41/240)*1000</f>
        <v>240.00000000000003</v>
      </c>
      <c r="J41" s="21"/>
      <c r="K41" s="21"/>
      <c r="L41" s="15">
        <v>6</v>
      </c>
      <c r="M41" s="15" t="s">
        <v>26</v>
      </c>
      <c r="N41" s="9"/>
      <c r="O41" s="9"/>
    </row>
    <row r="42" spans="1:15" x14ac:dyDescent="0.4">
      <c r="A42" s="156"/>
      <c r="B42" s="15" t="s">
        <v>27</v>
      </c>
      <c r="C42" s="15" t="s">
        <v>28</v>
      </c>
      <c r="D42" s="15">
        <v>3</v>
      </c>
      <c r="E42" s="15">
        <v>10</v>
      </c>
      <c r="F42" s="15">
        <f t="shared" ref="F42:F43" si="9">E42*D42</f>
        <v>30</v>
      </c>
      <c r="G42" s="15">
        <v>0.8</v>
      </c>
      <c r="H42" s="16">
        <f>F42*G42</f>
        <v>24</v>
      </c>
      <c r="I42" s="16">
        <f t="shared" ref="I42:I43" si="10">(H42/240)*1000</f>
        <v>100</v>
      </c>
      <c r="J42" s="21"/>
      <c r="K42" s="21"/>
      <c r="L42" s="15">
        <v>6</v>
      </c>
      <c r="M42" s="15" t="s">
        <v>26</v>
      </c>
      <c r="N42" s="9"/>
      <c r="O42" s="9"/>
    </row>
    <row r="43" spans="1:15" x14ac:dyDescent="0.4">
      <c r="A43" s="156"/>
      <c r="B43" s="15" t="s">
        <v>53</v>
      </c>
      <c r="C43" s="15" t="s">
        <v>54</v>
      </c>
      <c r="D43" s="15">
        <v>2</v>
      </c>
      <c r="E43" s="15">
        <v>20</v>
      </c>
      <c r="F43" s="15">
        <f t="shared" si="9"/>
        <v>40</v>
      </c>
      <c r="G43" s="15">
        <v>0.8</v>
      </c>
      <c r="H43" s="16">
        <f t="shared" ref="H43" si="11">F43*G43</f>
        <v>32</v>
      </c>
      <c r="I43" s="16">
        <f t="shared" si="10"/>
        <v>133.33333333333334</v>
      </c>
      <c r="J43" s="21"/>
      <c r="K43" s="21"/>
      <c r="L43" s="15">
        <v>6</v>
      </c>
      <c r="M43" s="15" t="s">
        <v>26</v>
      </c>
      <c r="N43" s="9"/>
      <c r="O43" s="9"/>
    </row>
    <row r="44" spans="1:15" x14ac:dyDescent="0.4">
      <c r="A44" s="20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5"/>
      <c r="M44" s="15"/>
      <c r="N44" s="9"/>
      <c r="O44" s="9"/>
    </row>
    <row r="45" spans="1:15" x14ac:dyDescent="0.4">
      <c r="A45" s="155" t="s">
        <v>61</v>
      </c>
      <c r="B45" s="15" t="s">
        <v>62</v>
      </c>
      <c r="C45" s="15" t="s">
        <v>50</v>
      </c>
      <c r="D45" s="15">
        <v>10</v>
      </c>
      <c r="E45" s="15">
        <v>72</v>
      </c>
      <c r="F45" s="15">
        <f>E45*D45</f>
        <v>720</v>
      </c>
      <c r="G45" s="15">
        <v>0.8</v>
      </c>
      <c r="H45" s="16">
        <f>F45*G45</f>
        <v>576</v>
      </c>
      <c r="I45" s="21"/>
      <c r="J45" s="19">
        <f>(H45/240)*1000</f>
        <v>2400</v>
      </c>
      <c r="K45" s="21"/>
      <c r="L45" s="15">
        <v>6</v>
      </c>
      <c r="M45" s="15" t="s">
        <v>26</v>
      </c>
      <c r="N45" s="9"/>
      <c r="O45" s="9"/>
    </row>
    <row r="46" spans="1:15" x14ac:dyDescent="0.4">
      <c r="A46" s="155"/>
      <c r="B46" s="15" t="s">
        <v>27</v>
      </c>
      <c r="C46" s="15" t="s">
        <v>28</v>
      </c>
      <c r="D46" s="15">
        <v>2</v>
      </c>
      <c r="E46" s="15">
        <v>10</v>
      </c>
      <c r="F46" s="15">
        <f t="shared" ref="F46:F47" si="12">E46*D46</f>
        <v>20</v>
      </c>
      <c r="G46" s="15">
        <v>0.8</v>
      </c>
      <c r="H46" s="16">
        <f>F46*G46</f>
        <v>16</v>
      </c>
      <c r="I46" s="21"/>
      <c r="J46" s="19">
        <f t="shared" ref="J46:J47" si="13">(H46/240)*1000</f>
        <v>66.666666666666671</v>
      </c>
      <c r="K46" s="21"/>
      <c r="L46" s="15">
        <v>6</v>
      </c>
      <c r="M46" s="15" t="s">
        <v>26</v>
      </c>
      <c r="N46" s="9"/>
      <c r="O46" s="9"/>
    </row>
    <row r="47" spans="1:15" x14ac:dyDescent="0.4">
      <c r="A47" s="155"/>
      <c r="B47" s="15" t="s">
        <v>53</v>
      </c>
      <c r="C47" s="15" t="s">
        <v>54</v>
      </c>
      <c r="D47" s="15">
        <v>1</v>
      </c>
      <c r="E47" s="15">
        <v>20</v>
      </c>
      <c r="F47" s="15">
        <f t="shared" si="12"/>
        <v>20</v>
      </c>
      <c r="G47" s="15">
        <v>0.8</v>
      </c>
      <c r="H47" s="16">
        <f t="shared" ref="H47" si="14">F47*G47</f>
        <v>16</v>
      </c>
      <c r="I47" s="21"/>
      <c r="J47" s="19">
        <f t="shared" si="13"/>
        <v>66.666666666666671</v>
      </c>
      <c r="K47" s="21"/>
      <c r="L47" s="15">
        <v>6</v>
      </c>
      <c r="M47" s="15" t="s">
        <v>26</v>
      </c>
      <c r="N47" s="9"/>
      <c r="O47" s="9"/>
    </row>
    <row r="48" spans="1:15" x14ac:dyDescent="0.4">
      <c r="A48" s="20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15"/>
      <c r="M48" s="15"/>
      <c r="N48" s="9"/>
      <c r="O48" s="9"/>
    </row>
    <row r="49" spans="1:15" x14ac:dyDescent="0.4">
      <c r="A49" s="22" t="s">
        <v>63</v>
      </c>
      <c r="B49" s="15" t="s">
        <v>62</v>
      </c>
      <c r="C49" s="15" t="s">
        <v>50</v>
      </c>
      <c r="D49" s="15">
        <v>10</v>
      </c>
      <c r="E49" s="15">
        <v>72</v>
      </c>
      <c r="F49" s="15">
        <f>E49*D49</f>
        <v>720</v>
      </c>
      <c r="G49" s="15">
        <v>0.8</v>
      </c>
      <c r="H49" s="16">
        <f>F49*G49</f>
        <v>576</v>
      </c>
      <c r="I49" s="21"/>
      <c r="J49" s="21"/>
      <c r="K49" s="19">
        <f>(H49/240)*1000</f>
        <v>2400</v>
      </c>
      <c r="L49" s="15">
        <v>6</v>
      </c>
      <c r="M49" s="15" t="s">
        <v>26</v>
      </c>
      <c r="N49" s="9"/>
      <c r="O49" s="9"/>
    </row>
    <row r="50" spans="1:15" x14ac:dyDescent="0.4">
      <c r="A50" s="20"/>
      <c r="B50" s="21"/>
      <c r="C50" s="21"/>
      <c r="D50" s="21"/>
      <c r="E50" s="21"/>
      <c r="F50" s="15"/>
      <c r="G50" s="21"/>
      <c r="H50" s="21"/>
      <c r="I50" s="21"/>
      <c r="J50" s="21"/>
      <c r="K50" s="21"/>
      <c r="L50" s="15"/>
      <c r="M50" s="15"/>
      <c r="N50" s="9"/>
      <c r="O50" s="9"/>
    </row>
    <row r="51" spans="1:15" x14ac:dyDescent="0.4">
      <c r="A51" s="23" t="s">
        <v>64</v>
      </c>
      <c r="B51" s="15" t="s">
        <v>62</v>
      </c>
      <c r="C51" s="15" t="s">
        <v>50</v>
      </c>
      <c r="D51" s="15">
        <v>10</v>
      </c>
      <c r="E51" s="15">
        <v>72</v>
      </c>
      <c r="F51" s="15">
        <f>E51*D51</f>
        <v>720</v>
      </c>
      <c r="G51" s="15">
        <v>0.8</v>
      </c>
      <c r="H51" s="16">
        <f>F51*G51</f>
        <v>576</v>
      </c>
      <c r="I51" s="16">
        <f>(H51/240)*1000</f>
        <v>2400</v>
      </c>
      <c r="J51" s="21"/>
      <c r="K51" s="21"/>
      <c r="L51" s="15">
        <v>6</v>
      </c>
      <c r="M51" s="15" t="s">
        <v>26</v>
      </c>
      <c r="N51" s="9"/>
      <c r="O51" s="9"/>
    </row>
    <row r="52" spans="1:15" x14ac:dyDescent="0.4">
      <c r="A52" s="24"/>
      <c r="B52" s="21"/>
      <c r="C52" s="21"/>
      <c r="D52" s="17"/>
      <c r="E52" s="15"/>
      <c r="F52" s="15"/>
      <c r="G52" s="17"/>
      <c r="H52" s="21"/>
      <c r="I52" s="21"/>
      <c r="J52" s="21"/>
      <c r="K52" s="21"/>
      <c r="L52" s="15"/>
      <c r="M52" s="15"/>
      <c r="N52" s="9"/>
      <c r="O52" s="9"/>
    </row>
    <row r="53" spans="1:15" x14ac:dyDescent="0.4">
      <c r="A53" s="25" t="s">
        <v>65</v>
      </c>
      <c r="B53" s="15" t="s">
        <v>62</v>
      </c>
      <c r="C53" s="15" t="s">
        <v>50</v>
      </c>
      <c r="D53" s="15">
        <v>10</v>
      </c>
      <c r="E53" s="15">
        <v>72</v>
      </c>
      <c r="F53" s="15">
        <f>E53*D53</f>
        <v>720</v>
      </c>
      <c r="G53" s="15">
        <v>0.8</v>
      </c>
      <c r="H53" s="16">
        <f>F53*G53</f>
        <v>576</v>
      </c>
      <c r="I53" s="21"/>
      <c r="J53" s="19">
        <f>(H53/240)*1000</f>
        <v>2400</v>
      </c>
      <c r="K53" s="21"/>
      <c r="L53" s="15">
        <v>6</v>
      </c>
      <c r="M53" s="15" t="s">
        <v>26</v>
      </c>
      <c r="N53" s="9"/>
      <c r="O53" s="9"/>
    </row>
    <row r="54" spans="1:15" x14ac:dyDescent="0.4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15"/>
      <c r="M54" s="15"/>
      <c r="N54" s="9"/>
      <c r="O54" s="9"/>
    </row>
    <row r="55" spans="1:15" x14ac:dyDescent="0.4">
      <c r="A55" s="159" t="s">
        <v>66</v>
      </c>
      <c r="B55" s="15" t="s">
        <v>67</v>
      </c>
      <c r="C55" s="15" t="s">
        <v>50</v>
      </c>
      <c r="D55" s="15">
        <v>6</v>
      </c>
      <c r="E55" s="15">
        <v>72</v>
      </c>
      <c r="F55" s="15">
        <f>E55*D55</f>
        <v>432</v>
      </c>
      <c r="G55" s="15">
        <v>0.8</v>
      </c>
      <c r="H55" s="16">
        <f>F55*G55</f>
        <v>345.6</v>
      </c>
      <c r="I55" s="21"/>
      <c r="J55" s="21"/>
      <c r="K55" s="19">
        <f>(H55/240)*1000</f>
        <v>1440.0000000000002</v>
      </c>
      <c r="L55" s="15">
        <v>6</v>
      </c>
      <c r="M55" s="15" t="s">
        <v>26</v>
      </c>
      <c r="N55" s="9"/>
      <c r="O55" s="9"/>
    </row>
    <row r="56" spans="1:15" x14ac:dyDescent="0.4">
      <c r="A56" s="159"/>
      <c r="B56" s="15" t="s">
        <v>27</v>
      </c>
      <c r="C56" s="15" t="s">
        <v>28</v>
      </c>
      <c r="D56" s="15">
        <v>1</v>
      </c>
      <c r="E56" s="15">
        <v>10</v>
      </c>
      <c r="F56" s="15">
        <f t="shared" ref="F56:F57" si="15">E56*D56</f>
        <v>10</v>
      </c>
      <c r="G56" s="15">
        <v>0.8</v>
      </c>
      <c r="H56" s="16">
        <f>F56*G56</f>
        <v>8</v>
      </c>
      <c r="I56" s="21"/>
      <c r="J56" s="21"/>
      <c r="K56" s="19">
        <f>(H56/240)*1000</f>
        <v>33.333333333333336</v>
      </c>
      <c r="L56" s="15">
        <v>6</v>
      </c>
      <c r="M56" s="15" t="s">
        <v>26</v>
      </c>
      <c r="N56" s="9"/>
      <c r="O56" s="9"/>
    </row>
    <row r="57" spans="1:15" x14ac:dyDescent="0.4">
      <c r="A57" s="159"/>
      <c r="B57" s="15" t="s">
        <v>53</v>
      </c>
      <c r="C57" s="15" t="s">
        <v>54</v>
      </c>
      <c r="D57" s="15">
        <v>1</v>
      </c>
      <c r="E57" s="15">
        <v>20</v>
      </c>
      <c r="F57" s="15">
        <f t="shared" si="15"/>
        <v>20</v>
      </c>
      <c r="G57" s="15">
        <v>0.8</v>
      </c>
      <c r="H57" s="16">
        <f t="shared" ref="H57" si="16">F57*G57</f>
        <v>16</v>
      </c>
      <c r="I57" s="21"/>
      <c r="J57" s="21"/>
      <c r="K57" s="19">
        <f>(H57/240)*1000</f>
        <v>66.666666666666671</v>
      </c>
      <c r="L57" s="15">
        <v>6</v>
      </c>
      <c r="M57" s="15" t="s">
        <v>26</v>
      </c>
      <c r="N57" s="9"/>
      <c r="O57" s="9"/>
    </row>
    <row r="58" spans="1:15" x14ac:dyDescent="0.4">
      <c r="A58" s="20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15"/>
      <c r="M58" s="15"/>
      <c r="N58" s="9"/>
      <c r="O58" s="9"/>
    </row>
    <row r="59" spans="1:15" x14ac:dyDescent="0.4">
      <c r="A59" s="23" t="s">
        <v>68</v>
      </c>
      <c r="B59" s="15" t="s">
        <v>67</v>
      </c>
      <c r="C59" s="15" t="s">
        <v>50</v>
      </c>
      <c r="D59" s="15">
        <v>6</v>
      </c>
      <c r="E59" s="15">
        <v>72</v>
      </c>
      <c r="F59" s="15">
        <f>E59*D59</f>
        <v>432</v>
      </c>
      <c r="G59" s="15">
        <v>0.8</v>
      </c>
      <c r="H59" s="16">
        <f>F59*G59</f>
        <v>345.6</v>
      </c>
      <c r="I59" s="16">
        <f>(H59/240)*1000</f>
        <v>1440.0000000000002</v>
      </c>
      <c r="J59" s="21"/>
      <c r="K59" s="21"/>
      <c r="L59" s="15">
        <v>6</v>
      </c>
      <c r="M59" s="15" t="s">
        <v>26</v>
      </c>
      <c r="N59" s="9"/>
      <c r="O59" s="9"/>
    </row>
    <row r="60" spans="1:15" x14ac:dyDescent="0.4">
      <c r="A60" s="18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9"/>
      <c r="O60" s="9"/>
    </row>
    <row r="61" spans="1:15" x14ac:dyDescent="0.4">
      <c r="A61" s="155" t="s">
        <v>69</v>
      </c>
      <c r="B61" s="15" t="s">
        <v>70</v>
      </c>
      <c r="C61" s="15" t="s">
        <v>50</v>
      </c>
      <c r="D61" s="17">
        <v>9</v>
      </c>
      <c r="E61" s="15">
        <v>72</v>
      </c>
      <c r="F61" s="15">
        <f>E61*D61</f>
        <v>648</v>
      </c>
      <c r="G61" s="15">
        <v>0.8</v>
      </c>
      <c r="H61" s="16">
        <f>F61*G61</f>
        <v>518.4</v>
      </c>
      <c r="I61" s="16"/>
      <c r="J61" s="19">
        <f>(H61/240)*1000</f>
        <v>2159.9999999999995</v>
      </c>
      <c r="K61" s="21"/>
      <c r="L61" s="15">
        <v>6</v>
      </c>
      <c r="M61" s="15" t="s">
        <v>26</v>
      </c>
      <c r="N61" s="9"/>
      <c r="O61" s="9"/>
    </row>
    <row r="62" spans="1:15" x14ac:dyDescent="0.4">
      <c r="A62" s="155"/>
      <c r="B62" s="15" t="s">
        <v>27</v>
      </c>
      <c r="C62" s="15" t="s">
        <v>28</v>
      </c>
      <c r="D62" s="15">
        <v>1</v>
      </c>
      <c r="E62" s="15">
        <v>10</v>
      </c>
      <c r="F62" s="15">
        <f t="shared" ref="F62:F63" si="17">E62*D62</f>
        <v>10</v>
      </c>
      <c r="G62" s="15">
        <v>0.8</v>
      </c>
      <c r="H62" s="16">
        <f>F62*G62</f>
        <v>8</v>
      </c>
      <c r="I62" s="16"/>
      <c r="J62" s="19">
        <f>(H62/240)*1000</f>
        <v>33.333333333333336</v>
      </c>
      <c r="K62" s="21"/>
      <c r="L62" s="15">
        <v>6</v>
      </c>
      <c r="M62" s="15" t="s">
        <v>26</v>
      </c>
      <c r="N62" s="9"/>
      <c r="O62" s="9"/>
    </row>
    <row r="63" spans="1:15" x14ac:dyDescent="0.4">
      <c r="A63" s="155"/>
      <c r="B63" s="15" t="s">
        <v>53</v>
      </c>
      <c r="C63" s="15" t="s">
        <v>54</v>
      </c>
      <c r="D63" s="15">
        <v>1</v>
      </c>
      <c r="E63" s="15">
        <v>20</v>
      </c>
      <c r="F63" s="15">
        <f t="shared" si="17"/>
        <v>20</v>
      </c>
      <c r="G63" s="15">
        <v>0.8</v>
      </c>
      <c r="H63" s="16">
        <f t="shared" ref="H63" si="18">F63*G63</f>
        <v>16</v>
      </c>
      <c r="I63" s="16"/>
      <c r="J63" s="19">
        <f>(H63/240)*1000</f>
        <v>66.666666666666671</v>
      </c>
      <c r="K63" s="21"/>
      <c r="L63" s="15">
        <v>6</v>
      </c>
      <c r="M63" s="15" t="s">
        <v>26</v>
      </c>
      <c r="N63" s="9"/>
      <c r="O63" s="9"/>
    </row>
    <row r="64" spans="1:15" x14ac:dyDescent="0.4">
      <c r="A64" s="20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9"/>
      <c r="O64" s="9"/>
    </row>
    <row r="65" spans="1:18" x14ac:dyDescent="0.4">
      <c r="A65" s="22" t="s">
        <v>71</v>
      </c>
      <c r="B65" s="15" t="s">
        <v>70</v>
      </c>
      <c r="C65" s="15" t="s">
        <v>50</v>
      </c>
      <c r="D65" s="17">
        <v>8</v>
      </c>
      <c r="E65" s="15">
        <v>72</v>
      </c>
      <c r="F65" s="15">
        <f>E65*D65</f>
        <v>576</v>
      </c>
      <c r="G65" s="15">
        <v>0.8</v>
      </c>
      <c r="H65" s="16">
        <f>F65*G65</f>
        <v>460.8</v>
      </c>
      <c r="I65" s="21"/>
      <c r="J65" s="19"/>
      <c r="K65" s="19">
        <f>(H65/240)*1000</f>
        <v>1920.0000000000002</v>
      </c>
      <c r="L65" s="15">
        <v>6</v>
      </c>
      <c r="M65" s="15" t="s">
        <v>26</v>
      </c>
      <c r="N65" s="9"/>
      <c r="O65" s="9"/>
    </row>
    <row r="66" spans="1:18" x14ac:dyDescent="0.4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9"/>
      <c r="O66" s="9"/>
    </row>
    <row r="67" spans="1:18" x14ac:dyDescent="0.4">
      <c r="A67" s="23" t="s">
        <v>72</v>
      </c>
      <c r="B67" s="15" t="s">
        <v>70</v>
      </c>
      <c r="C67" s="15" t="s">
        <v>50</v>
      </c>
      <c r="D67" s="17">
        <v>8</v>
      </c>
      <c r="E67" s="15">
        <v>72</v>
      </c>
      <c r="F67" s="15">
        <f>E67*D67</f>
        <v>576</v>
      </c>
      <c r="G67" s="15">
        <v>0.8</v>
      </c>
      <c r="H67" s="16">
        <f>F67*G67</f>
        <v>460.8</v>
      </c>
      <c r="I67" s="16">
        <f>(H67/240)*1000</f>
        <v>1920.0000000000002</v>
      </c>
      <c r="J67" s="21"/>
      <c r="K67" s="19"/>
      <c r="L67" s="15">
        <v>6</v>
      </c>
      <c r="M67" s="15" t="s">
        <v>26</v>
      </c>
      <c r="N67" s="9"/>
      <c r="O67" s="9"/>
    </row>
    <row r="68" spans="1:18" x14ac:dyDescent="0.4">
      <c r="A68" s="18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9"/>
      <c r="O68" s="9"/>
    </row>
    <row r="69" spans="1:18" x14ac:dyDescent="0.4">
      <c r="A69" s="155" t="s">
        <v>73</v>
      </c>
      <c r="B69" s="15" t="s">
        <v>74</v>
      </c>
      <c r="C69" s="15" t="s">
        <v>25</v>
      </c>
      <c r="D69" s="15">
        <v>8</v>
      </c>
      <c r="E69" s="15">
        <v>84</v>
      </c>
      <c r="F69" s="15">
        <f>E69*D69</f>
        <v>672</v>
      </c>
      <c r="G69" s="15">
        <v>0.8</v>
      </c>
      <c r="H69" s="16">
        <f>F69*G69</f>
        <v>537.6</v>
      </c>
      <c r="I69" s="16"/>
      <c r="J69" s="19">
        <f t="shared" ref="J69:J70" si="19">(H69/240)*1000</f>
        <v>2240</v>
      </c>
      <c r="K69" s="21"/>
      <c r="L69" s="15">
        <v>6</v>
      </c>
      <c r="M69" s="15" t="s">
        <v>26</v>
      </c>
      <c r="N69" s="9"/>
      <c r="O69" s="9"/>
    </row>
    <row r="70" spans="1:18" x14ac:dyDescent="0.4">
      <c r="A70" s="155"/>
      <c r="B70" s="15" t="s">
        <v>27</v>
      </c>
      <c r="C70" s="15" t="s">
        <v>28</v>
      </c>
      <c r="D70" s="15">
        <v>1</v>
      </c>
      <c r="E70" s="15">
        <v>10</v>
      </c>
      <c r="F70" s="15">
        <f t="shared" ref="F70" si="20">E70*D70</f>
        <v>10</v>
      </c>
      <c r="G70" s="15">
        <v>0.8</v>
      </c>
      <c r="H70" s="16">
        <f>F70*G70</f>
        <v>8</v>
      </c>
      <c r="I70" s="16"/>
      <c r="J70" s="19">
        <f t="shared" si="19"/>
        <v>33.333333333333336</v>
      </c>
      <c r="K70" s="21"/>
      <c r="L70" s="15">
        <v>6</v>
      </c>
      <c r="M70" s="15" t="s">
        <v>26</v>
      </c>
      <c r="N70" s="9"/>
      <c r="O70" s="9"/>
    </row>
    <row r="71" spans="1:18" x14ac:dyDescent="0.4">
      <c r="A71" s="20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15"/>
      <c r="M71" s="15"/>
      <c r="N71" s="9"/>
      <c r="O71" s="9"/>
    </row>
    <row r="72" spans="1:18" x14ac:dyDescent="0.4">
      <c r="A72" s="159" t="s">
        <v>75</v>
      </c>
      <c r="B72" s="15" t="s">
        <v>76</v>
      </c>
      <c r="C72" s="15" t="s">
        <v>25</v>
      </c>
      <c r="D72" s="15">
        <v>8</v>
      </c>
      <c r="E72" s="15">
        <v>84</v>
      </c>
      <c r="F72" s="15">
        <f>E72*D72</f>
        <v>672</v>
      </c>
      <c r="G72" s="15">
        <v>0.8</v>
      </c>
      <c r="H72" s="16">
        <f>F72*G72</f>
        <v>537.6</v>
      </c>
      <c r="I72" s="21"/>
      <c r="J72" s="19"/>
      <c r="K72" s="19">
        <f t="shared" ref="K72:K73" si="21">(H72/240)*1000</f>
        <v>2240</v>
      </c>
      <c r="L72" s="15">
        <v>6</v>
      </c>
      <c r="M72" s="15" t="s">
        <v>26</v>
      </c>
      <c r="N72" s="9"/>
      <c r="O72" s="9"/>
    </row>
    <row r="73" spans="1:18" x14ac:dyDescent="0.4">
      <c r="A73" s="159"/>
      <c r="B73" s="15" t="s">
        <v>27</v>
      </c>
      <c r="C73" s="15" t="s">
        <v>28</v>
      </c>
      <c r="D73" s="15">
        <v>1</v>
      </c>
      <c r="E73" s="15">
        <v>10</v>
      </c>
      <c r="F73" s="15">
        <f t="shared" ref="F73" si="22">E73*D73</f>
        <v>10</v>
      </c>
      <c r="G73" s="15">
        <v>0.8</v>
      </c>
      <c r="H73" s="16">
        <f>F73*G73</f>
        <v>8</v>
      </c>
      <c r="I73" s="21"/>
      <c r="J73" s="19"/>
      <c r="K73" s="19">
        <f t="shared" si="21"/>
        <v>33.333333333333336</v>
      </c>
      <c r="L73" s="15">
        <v>6</v>
      </c>
      <c r="M73" s="15" t="s">
        <v>26</v>
      </c>
      <c r="N73" s="9"/>
      <c r="O73" s="9"/>
      <c r="R73" s="160"/>
    </row>
    <row r="74" spans="1:18" x14ac:dyDescent="0.4">
      <c r="A74" s="20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9"/>
      <c r="O74" s="9"/>
      <c r="R74" s="160"/>
    </row>
    <row r="75" spans="1:18" x14ac:dyDescent="0.4">
      <c r="A75" s="156" t="s">
        <v>77</v>
      </c>
      <c r="B75" s="15" t="s">
        <v>78</v>
      </c>
      <c r="C75" s="15" t="s">
        <v>25</v>
      </c>
      <c r="D75" s="15">
        <v>8</v>
      </c>
      <c r="E75" s="15">
        <v>84</v>
      </c>
      <c r="F75" s="15">
        <f>E75*D75</f>
        <v>672</v>
      </c>
      <c r="G75" s="15">
        <v>0.8</v>
      </c>
      <c r="H75" s="16">
        <f>F75*G75</f>
        <v>537.6</v>
      </c>
      <c r="I75" s="16">
        <f t="shared" ref="I75:I76" si="23">(H75/240)*1000</f>
        <v>2240</v>
      </c>
      <c r="J75" s="21"/>
      <c r="K75" s="19"/>
      <c r="L75" s="15">
        <v>6</v>
      </c>
      <c r="M75" s="15" t="s">
        <v>26</v>
      </c>
      <c r="N75" s="9"/>
      <c r="O75" s="9"/>
    </row>
    <row r="76" spans="1:18" x14ac:dyDescent="0.4">
      <c r="A76" s="156"/>
      <c r="B76" s="15" t="s">
        <v>27</v>
      </c>
      <c r="C76" s="15" t="s">
        <v>28</v>
      </c>
      <c r="D76" s="15">
        <v>1</v>
      </c>
      <c r="E76" s="15">
        <v>10</v>
      </c>
      <c r="F76" s="15">
        <f t="shared" ref="F76" si="24">E76*D76</f>
        <v>10</v>
      </c>
      <c r="G76" s="15">
        <v>0.8</v>
      </c>
      <c r="H76" s="16">
        <f>F76*G76</f>
        <v>8</v>
      </c>
      <c r="I76" s="16">
        <f t="shared" si="23"/>
        <v>33.333333333333336</v>
      </c>
      <c r="J76" s="21"/>
      <c r="K76" s="19"/>
      <c r="L76" s="15">
        <v>6</v>
      </c>
      <c r="M76" s="15" t="s">
        <v>26</v>
      </c>
      <c r="N76" s="9"/>
      <c r="O76" s="9"/>
    </row>
    <row r="77" spans="1:18" x14ac:dyDescent="0.4">
      <c r="A77" s="20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9"/>
      <c r="O77" s="9"/>
    </row>
    <row r="78" spans="1:18" x14ac:dyDescent="0.4">
      <c r="A78" s="155" t="s">
        <v>79</v>
      </c>
      <c r="B78" s="15" t="s">
        <v>80</v>
      </c>
      <c r="C78" s="15" t="s">
        <v>25</v>
      </c>
      <c r="D78" s="15">
        <v>8</v>
      </c>
      <c r="E78" s="15">
        <v>84</v>
      </c>
      <c r="F78" s="15">
        <f>E78*D78</f>
        <v>672</v>
      </c>
      <c r="G78" s="15">
        <v>0.8</v>
      </c>
      <c r="H78" s="16">
        <f>F78*G78</f>
        <v>537.6</v>
      </c>
      <c r="I78" s="16"/>
      <c r="J78" s="19">
        <f t="shared" ref="J78:J79" si="25">(H78/240)*1000</f>
        <v>2240</v>
      </c>
      <c r="K78" s="21"/>
      <c r="L78" s="15">
        <v>6</v>
      </c>
      <c r="M78" s="15" t="s">
        <v>26</v>
      </c>
      <c r="N78" s="9"/>
      <c r="O78" s="9"/>
    </row>
    <row r="79" spans="1:18" x14ac:dyDescent="0.4">
      <c r="A79" s="155"/>
      <c r="B79" s="15" t="s">
        <v>27</v>
      </c>
      <c r="C79" s="15" t="s">
        <v>28</v>
      </c>
      <c r="D79" s="15">
        <v>1</v>
      </c>
      <c r="E79" s="15">
        <v>10</v>
      </c>
      <c r="F79" s="15">
        <f t="shared" ref="F79" si="26">E79*D79</f>
        <v>10</v>
      </c>
      <c r="G79" s="15">
        <v>0.8</v>
      </c>
      <c r="H79" s="16">
        <f>F79*G79</f>
        <v>8</v>
      </c>
      <c r="I79" s="16"/>
      <c r="J79" s="19">
        <f t="shared" si="25"/>
        <v>33.333333333333336</v>
      </c>
      <c r="K79" s="21"/>
      <c r="L79" s="15">
        <v>6</v>
      </c>
      <c r="M79" s="15" t="s">
        <v>26</v>
      </c>
      <c r="N79" s="9"/>
      <c r="O79" s="9"/>
    </row>
    <row r="80" spans="1:18" x14ac:dyDescent="0.4">
      <c r="A80" s="18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9"/>
      <c r="O80" s="9"/>
    </row>
    <row r="81" spans="1:15" x14ac:dyDescent="0.4">
      <c r="A81" s="159" t="s">
        <v>81</v>
      </c>
      <c r="B81" s="15" t="s">
        <v>82</v>
      </c>
      <c r="C81" s="15" t="s">
        <v>83</v>
      </c>
      <c r="D81" s="15">
        <v>3</v>
      </c>
      <c r="E81" s="15">
        <v>42</v>
      </c>
      <c r="F81" s="15">
        <f>E81*D81</f>
        <v>126</v>
      </c>
      <c r="G81" s="15">
        <v>0.8</v>
      </c>
      <c r="H81" s="16">
        <f>F81*G81</f>
        <v>100.80000000000001</v>
      </c>
      <c r="I81" s="21"/>
      <c r="J81" s="19"/>
      <c r="K81" s="19">
        <f t="shared" ref="K81:K83" si="27">(H81/240)*1000</f>
        <v>420.00000000000006</v>
      </c>
      <c r="L81" s="15">
        <v>6</v>
      </c>
      <c r="M81" s="15" t="s">
        <v>26</v>
      </c>
      <c r="N81" s="9"/>
      <c r="O81" s="9"/>
    </row>
    <row r="82" spans="1:15" x14ac:dyDescent="0.4">
      <c r="A82" s="159"/>
      <c r="B82" s="15" t="s">
        <v>84</v>
      </c>
      <c r="C82" s="15" t="s">
        <v>83</v>
      </c>
      <c r="D82" s="15">
        <v>3</v>
      </c>
      <c r="E82" s="15">
        <v>42</v>
      </c>
      <c r="F82" s="15">
        <f>E82*D82</f>
        <v>126</v>
      </c>
      <c r="G82" s="15">
        <v>0.8</v>
      </c>
      <c r="H82" s="16">
        <f>F82*G82</f>
        <v>100.80000000000001</v>
      </c>
      <c r="I82" s="21"/>
      <c r="J82" s="19"/>
      <c r="K82" s="19">
        <f t="shared" si="27"/>
        <v>420.00000000000006</v>
      </c>
      <c r="L82" s="15">
        <v>6</v>
      </c>
      <c r="M82" s="15" t="s">
        <v>26</v>
      </c>
      <c r="N82" s="9"/>
      <c r="O82" s="9"/>
    </row>
    <row r="83" spans="1:15" x14ac:dyDescent="0.4">
      <c r="A83" s="159"/>
      <c r="B83" s="15" t="s">
        <v>27</v>
      </c>
      <c r="C83" s="15" t="s">
        <v>28</v>
      </c>
      <c r="D83" s="15">
        <v>2</v>
      </c>
      <c r="E83" s="15">
        <v>10</v>
      </c>
      <c r="F83" s="15">
        <f t="shared" ref="F83" si="28">E83*D83</f>
        <v>20</v>
      </c>
      <c r="G83" s="15">
        <v>0.8</v>
      </c>
      <c r="H83" s="16">
        <f>F83*G83</f>
        <v>16</v>
      </c>
      <c r="I83" s="21"/>
      <c r="J83" s="19"/>
      <c r="K83" s="19">
        <f t="shared" si="27"/>
        <v>66.666666666666671</v>
      </c>
      <c r="L83" s="15">
        <v>6</v>
      </c>
      <c r="M83" s="15" t="s">
        <v>26</v>
      </c>
      <c r="N83" s="9"/>
      <c r="O83" s="9"/>
    </row>
    <row r="84" spans="1:15" x14ac:dyDescent="0.4">
      <c r="A84" s="20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9"/>
      <c r="O84" s="9"/>
    </row>
    <row r="85" spans="1:15" x14ac:dyDescent="0.4">
      <c r="A85" s="156" t="s">
        <v>85</v>
      </c>
      <c r="B85" s="15" t="s">
        <v>86</v>
      </c>
      <c r="C85" s="15" t="s">
        <v>50</v>
      </c>
      <c r="D85" s="15">
        <v>6</v>
      </c>
      <c r="E85" s="15">
        <v>72</v>
      </c>
      <c r="F85" s="15">
        <f>E85*D85</f>
        <v>432</v>
      </c>
      <c r="G85" s="15">
        <v>0.8</v>
      </c>
      <c r="H85" s="16">
        <f>F85*G85</f>
        <v>345.6</v>
      </c>
      <c r="I85" s="16">
        <f t="shared" ref="I85:I87" si="29">(H85/240)*1000</f>
        <v>1440.0000000000002</v>
      </c>
      <c r="J85" s="21"/>
      <c r="K85" s="19"/>
      <c r="L85" s="15">
        <v>6</v>
      </c>
      <c r="M85" s="15" t="s">
        <v>26</v>
      </c>
      <c r="N85" s="9"/>
      <c r="O85" s="9"/>
    </row>
    <row r="86" spans="1:15" x14ac:dyDescent="0.4">
      <c r="A86" s="156"/>
      <c r="B86" s="15" t="s">
        <v>27</v>
      </c>
      <c r="C86" s="15" t="s">
        <v>28</v>
      </c>
      <c r="D86" s="15">
        <v>1</v>
      </c>
      <c r="E86" s="15">
        <v>10</v>
      </c>
      <c r="F86" s="15">
        <f t="shared" ref="F86:F87" si="30">E86*D86</f>
        <v>10</v>
      </c>
      <c r="G86" s="15">
        <v>0.8</v>
      </c>
      <c r="H86" s="16">
        <f>F86*G86</f>
        <v>8</v>
      </c>
      <c r="I86" s="16">
        <f t="shared" si="29"/>
        <v>33.333333333333336</v>
      </c>
      <c r="J86" s="21"/>
      <c r="K86" s="19"/>
      <c r="L86" s="15">
        <v>6</v>
      </c>
      <c r="M86" s="15" t="s">
        <v>26</v>
      </c>
      <c r="N86" s="9"/>
      <c r="O86" s="9"/>
    </row>
    <row r="87" spans="1:15" x14ac:dyDescent="0.4">
      <c r="A87" s="156"/>
      <c r="B87" s="15" t="s">
        <v>53</v>
      </c>
      <c r="C87" s="15" t="s">
        <v>54</v>
      </c>
      <c r="D87" s="15">
        <v>1</v>
      </c>
      <c r="E87" s="15">
        <v>20</v>
      </c>
      <c r="F87" s="15">
        <f t="shared" si="30"/>
        <v>20</v>
      </c>
      <c r="G87" s="15">
        <v>0.8</v>
      </c>
      <c r="H87" s="16">
        <f t="shared" ref="H87" si="31">F87*G87</f>
        <v>16</v>
      </c>
      <c r="I87" s="16">
        <f t="shared" si="29"/>
        <v>66.666666666666671</v>
      </c>
      <c r="J87" s="21"/>
      <c r="K87" s="19"/>
      <c r="L87" s="15">
        <v>6</v>
      </c>
      <c r="M87" s="15" t="s">
        <v>26</v>
      </c>
      <c r="N87" s="9"/>
      <c r="O87" s="9"/>
    </row>
    <row r="88" spans="1:15" x14ac:dyDescent="0.4">
      <c r="A88" s="18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15"/>
      <c r="M88" s="15"/>
      <c r="N88" s="9"/>
      <c r="O88" s="9"/>
    </row>
    <row r="89" spans="1:15" x14ac:dyDescent="0.4">
      <c r="A89" s="155" t="s">
        <v>87</v>
      </c>
      <c r="B89" s="15" t="s">
        <v>88</v>
      </c>
      <c r="C89" s="15" t="s">
        <v>50</v>
      </c>
      <c r="D89" s="15">
        <v>4</v>
      </c>
      <c r="E89" s="15">
        <v>72</v>
      </c>
      <c r="F89" s="15">
        <f>E89*D89</f>
        <v>288</v>
      </c>
      <c r="G89" s="15">
        <v>0.8</v>
      </c>
      <c r="H89" s="16">
        <f>F89*G89</f>
        <v>230.4</v>
      </c>
      <c r="I89" s="16"/>
      <c r="J89" s="19">
        <f t="shared" ref="J89:J92" si="32">(H89/240)*1000</f>
        <v>960.00000000000011</v>
      </c>
      <c r="K89" s="21"/>
      <c r="L89" s="15">
        <v>6</v>
      </c>
      <c r="M89" s="15" t="s">
        <v>26</v>
      </c>
      <c r="N89" s="9"/>
      <c r="O89" s="9"/>
    </row>
    <row r="90" spans="1:15" x14ac:dyDescent="0.4">
      <c r="A90" s="155"/>
      <c r="B90" s="15" t="s">
        <v>27</v>
      </c>
      <c r="C90" s="15" t="s">
        <v>28</v>
      </c>
      <c r="D90" s="15">
        <v>2</v>
      </c>
      <c r="E90" s="15">
        <v>10</v>
      </c>
      <c r="F90" s="15">
        <f t="shared" ref="F90:F92" si="33">E90*D90</f>
        <v>20</v>
      </c>
      <c r="G90" s="15">
        <v>0.8</v>
      </c>
      <c r="H90" s="16">
        <f>F90*G90</f>
        <v>16</v>
      </c>
      <c r="I90" s="16"/>
      <c r="J90" s="19">
        <f t="shared" si="32"/>
        <v>66.666666666666671</v>
      </c>
      <c r="K90" s="21"/>
      <c r="L90" s="15">
        <v>6</v>
      </c>
      <c r="M90" s="15" t="s">
        <v>26</v>
      </c>
      <c r="N90" s="9"/>
      <c r="O90" s="9"/>
    </row>
    <row r="91" spans="1:15" x14ac:dyDescent="0.4">
      <c r="A91" s="155"/>
      <c r="B91" s="15" t="s">
        <v>53</v>
      </c>
      <c r="C91" s="15" t="s">
        <v>54</v>
      </c>
      <c r="D91" s="15">
        <v>2</v>
      </c>
      <c r="E91" s="15">
        <v>20</v>
      </c>
      <c r="F91" s="15">
        <f t="shared" si="33"/>
        <v>40</v>
      </c>
      <c r="G91" s="15">
        <v>0.8</v>
      </c>
      <c r="H91" s="16">
        <f t="shared" ref="H91:H92" si="34">F91*G91</f>
        <v>32</v>
      </c>
      <c r="I91" s="16"/>
      <c r="J91" s="19">
        <f t="shared" si="32"/>
        <v>133.33333333333334</v>
      </c>
      <c r="K91" s="21"/>
      <c r="L91" s="15">
        <v>6</v>
      </c>
      <c r="M91" s="15" t="s">
        <v>26</v>
      </c>
      <c r="N91" s="9"/>
      <c r="O91" s="9"/>
    </row>
    <row r="92" spans="1:15" x14ac:dyDescent="0.4">
      <c r="A92" s="155"/>
      <c r="B92" s="15" t="s">
        <v>55</v>
      </c>
      <c r="C92" s="15" t="s">
        <v>56</v>
      </c>
      <c r="D92" s="15">
        <v>1</v>
      </c>
      <c r="E92" s="15">
        <v>70</v>
      </c>
      <c r="F92" s="15">
        <f t="shared" si="33"/>
        <v>70</v>
      </c>
      <c r="G92" s="15">
        <v>0.8</v>
      </c>
      <c r="H92" s="16">
        <f t="shared" si="34"/>
        <v>56</v>
      </c>
      <c r="I92" s="16"/>
      <c r="J92" s="19">
        <f t="shared" si="32"/>
        <v>233.33333333333334</v>
      </c>
      <c r="K92" s="21"/>
      <c r="L92" s="15">
        <v>6</v>
      </c>
      <c r="M92" s="15" t="s">
        <v>26</v>
      </c>
      <c r="N92" s="9"/>
      <c r="O92" s="9"/>
    </row>
    <row r="93" spans="1:15" x14ac:dyDescent="0.4">
      <c r="A93" s="20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9"/>
      <c r="O93" s="9"/>
    </row>
    <row r="94" spans="1:15" x14ac:dyDescent="0.4">
      <c r="A94" s="159" t="s">
        <v>89</v>
      </c>
      <c r="B94" s="15" t="s">
        <v>90</v>
      </c>
      <c r="C94" s="26" t="s">
        <v>91</v>
      </c>
      <c r="D94" s="15">
        <v>8</v>
      </c>
      <c r="E94" s="15">
        <v>24</v>
      </c>
      <c r="F94" s="15">
        <f>E94*D94</f>
        <v>192</v>
      </c>
      <c r="G94" s="15">
        <v>0.8</v>
      </c>
      <c r="H94" s="16">
        <f>F94*G94</f>
        <v>153.60000000000002</v>
      </c>
      <c r="I94" s="21"/>
      <c r="J94" s="19"/>
      <c r="K94" s="19">
        <f t="shared" ref="K94:K95" si="35">(H94/240)*1000</f>
        <v>640.00000000000011</v>
      </c>
      <c r="L94" s="15">
        <v>6</v>
      </c>
      <c r="M94" s="15" t="s">
        <v>26</v>
      </c>
      <c r="N94" s="9"/>
      <c r="O94" s="9"/>
    </row>
    <row r="95" spans="1:15" x14ac:dyDescent="0.4">
      <c r="A95" s="159"/>
      <c r="B95" s="15" t="s">
        <v>27</v>
      </c>
      <c r="C95" s="15" t="s">
        <v>28</v>
      </c>
      <c r="D95" s="15">
        <v>2</v>
      </c>
      <c r="E95" s="15">
        <v>10</v>
      </c>
      <c r="F95" s="15">
        <f t="shared" ref="F95" si="36">E95*D95</f>
        <v>20</v>
      </c>
      <c r="G95" s="15">
        <v>0.8</v>
      </c>
      <c r="H95" s="16">
        <f>F95*G95</f>
        <v>16</v>
      </c>
      <c r="I95" s="21"/>
      <c r="J95" s="19"/>
      <c r="K95" s="19">
        <f t="shared" si="35"/>
        <v>66.666666666666671</v>
      </c>
      <c r="L95" s="15">
        <v>6</v>
      </c>
      <c r="M95" s="15" t="s">
        <v>26</v>
      </c>
      <c r="N95" s="9"/>
      <c r="O95" s="9"/>
    </row>
    <row r="96" spans="1:15" x14ac:dyDescent="0.4">
      <c r="A96" s="20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15"/>
      <c r="N96" s="9"/>
      <c r="O96" s="9"/>
    </row>
    <row r="97" spans="1:15" x14ac:dyDescent="0.4">
      <c r="A97" s="23" t="s">
        <v>92</v>
      </c>
      <c r="B97" s="15" t="s">
        <v>90</v>
      </c>
      <c r="C97" s="26" t="s">
        <v>91</v>
      </c>
      <c r="D97" s="15">
        <v>8</v>
      </c>
      <c r="E97" s="15">
        <v>24</v>
      </c>
      <c r="F97" s="15">
        <f>E97*D97</f>
        <v>192</v>
      </c>
      <c r="G97" s="15">
        <v>0.8</v>
      </c>
      <c r="H97" s="16">
        <f>F97*G97</f>
        <v>153.60000000000002</v>
      </c>
      <c r="I97" s="16">
        <f t="shared" ref="I97" si="37">(H97/240)*1000</f>
        <v>640.00000000000011</v>
      </c>
      <c r="J97" s="21"/>
      <c r="K97" s="19"/>
      <c r="L97" s="15">
        <v>6</v>
      </c>
      <c r="M97" s="15" t="s">
        <v>26</v>
      </c>
      <c r="N97" s="9"/>
      <c r="O97" s="9"/>
    </row>
    <row r="98" spans="1:15" x14ac:dyDescent="0.4">
      <c r="A98" s="18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9"/>
      <c r="O98" s="9"/>
    </row>
    <row r="99" spans="1:15" x14ac:dyDescent="0.4">
      <c r="A99" s="161" t="s">
        <v>93</v>
      </c>
      <c r="B99" s="15" t="s">
        <v>94</v>
      </c>
      <c r="C99" s="26" t="s">
        <v>91</v>
      </c>
      <c r="D99" s="26">
        <v>4</v>
      </c>
      <c r="E99" s="15">
        <v>24</v>
      </c>
      <c r="F99" s="15">
        <f>E99*D99</f>
        <v>96</v>
      </c>
      <c r="G99" s="15">
        <v>0.8</v>
      </c>
      <c r="H99" s="16">
        <f>F99*G99</f>
        <v>76.800000000000011</v>
      </c>
      <c r="I99" s="16"/>
      <c r="J99" s="19">
        <f t="shared" ref="J99:J100" si="38">(H99/240)*1000</f>
        <v>320.00000000000006</v>
      </c>
      <c r="K99" s="21"/>
      <c r="L99" s="15">
        <v>6</v>
      </c>
      <c r="M99" s="15" t="s">
        <v>26</v>
      </c>
      <c r="N99" s="9"/>
      <c r="O99" s="9"/>
    </row>
    <row r="100" spans="1:15" x14ac:dyDescent="0.4">
      <c r="A100" s="162"/>
      <c r="B100" s="15" t="s">
        <v>27</v>
      </c>
      <c r="C100" s="15" t="s">
        <v>28</v>
      </c>
      <c r="D100" s="15">
        <v>1</v>
      </c>
      <c r="E100" s="15">
        <v>10</v>
      </c>
      <c r="F100" s="15">
        <f t="shared" ref="F100" si="39">E100*D100</f>
        <v>10</v>
      </c>
      <c r="G100" s="15">
        <v>0.8</v>
      </c>
      <c r="H100" s="16">
        <f>F100*G100</f>
        <v>8</v>
      </c>
      <c r="I100" s="16"/>
      <c r="J100" s="19">
        <f t="shared" si="38"/>
        <v>33.333333333333336</v>
      </c>
      <c r="K100" s="21"/>
      <c r="L100" s="15">
        <v>6</v>
      </c>
      <c r="M100" s="15" t="s">
        <v>26</v>
      </c>
      <c r="N100" s="9"/>
      <c r="O100" s="9"/>
    </row>
    <row r="101" spans="1:15" x14ac:dyDescent="0.4">
      <c r="A101" s="20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15"/>
      <c r="N101" s="9"/>
      <c r="O101" s="9"/>
    </row>
    <row r="102" spans="1:15" x14ac:dyDescent="0.4">
      <c r="A102" s="159" t="s">
        <v>95</v>
      </c>
      <c r="B102" s="15" t="s">
        <v>96</v>
      </c>
      <c r="C102" s="26" t="s">
        <v>91</v>
      </c>
      <c r="D102" s="26">
        <v>4</v>
      </c>
      <c r="E102" s="15">
        <v>24</v>
      </c>
      <c r="F102" s="15">
        <f>E102*D102</f>
        <v>96</v>
      </c>
      <c r="G102" s="15">
        <v>0.8</v>
      </c>
      <c r="H102" s="16">
        <f>F102*G102</f>
        <v>76.800000000000011</v>
      </c>
      <c r="I102" s="21"/>
      <c r="J102" s="19"/>
      <c r="K102" s="19">
        <f t="shared" ref="K102:K103" si="40">(H102/240)*1000</f>
        <v>320.00000000000006</v>
      </c>
      <c r="L102" s="15">
        <v>6</v>
      </c>
      <c r="M102" s="15" t="s">
        <v>26</v>
      </c>
      <c r="N102" s="9"/>
      <c r="O102" s="9"/>
    </row>
    <row r="103" spans="1:15" x14ac:dyDescent="0.4">
      <c r="A103" s="159"/>
      <c r="B103" s="15" t="s">
        <v>27</v>
      </c>
      <c r="C103" s="15" t="s">
        <v>28</v>
      </c>
      <c r="D103" s="15">
        <v>1</v>
      </c>
      <c r="E103" s="15">
        <v>10</v>
      </c>
      <c r="F103" s="15">
        <f t="shared" ref="F103" si="41">E103*D103</f>
        <v>10</v>
      </c>
      <c r="G103" s="15">
        <v>0.8</v>
      </c>
      <c r="H103" s="16">
        <f>F103*G103</f>
        <v>8</v>
      </c>
      <c r="I103" s="21"/>
      <c r="J103" s="19"/>
      <c r="K103" s="19">
        <f t="shared" si="40"/>
        <v>33.333333333333336</v>
      </c>
      <c r="L103" s="15">
        <v>6</v>
      </c>
      <c r="M103" s="15" t="s">
        <v>26</v>
      </c>
      <c r="N103" s="9"/>
      <c r="O103" s="9"/>
    </row>
    <row r="104" spans="1:15" x14ac:dyDescent="0.4">
      <c r="A104" s="159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15"/>
      <c r="M104" s="15"/>
      <c r="N104" s="9"/>
      <c r="O104" s="9"/>
    </row>
    <row r="105" spans="1:15" x14ac:dyDescent="0.4">
      <c r="A105" s="20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9"/>
      <c r="O105" s="9"/>
    </row>
    <row r="106" spans="1:15" x14ac:dyDescent="0.4">
      <c r="A106" s="156" t="s">
        <v>97</v>
      </c>
      <c r="B106" s="15" t="s">
        <v>98</v>
      </c>
      <c r="C106" s="15" t="s">
        <v>83</v>
      </c>
      <c r="D106" s="26">
        <v>1</v>
      </c>
      <c r="E106" s="15">
        <v>42</v>
      </c>
      <c r="F106" s="15">
        <f>E106*D106</f>
        <v>42</v>
      </c>
      <c r="G106" s="15">
        <v>0.8</v>
      </c>
      <c r="H106" s="16">
        <f>F106*G106</f>
        <v>33.6</v>
      </c>
      <c r="I106" s="16">
        <f t="shared" ref="I106:I107" si="42">(H106/240)*1000</f>
        <v>140</v>
      </c>
      <c r="J106" s="21"/>
      <c r="K106" s="19"/>
      <c r="L106" s="15">
        <v>6</v>
      </c>
      <c r="M106" s="15" t="s">
        <v>26</v>
      </c>
      <c r="N106" s="9"/>
      <c r="O106" s="9"/>
    </row>
    <row r="107" spans="1:15" x14ac:dyDescent="0.4">
      <c r="A107" s="156"/>
      <c r="B107" s="15" t="s">
        <v>27</v>
      </c>
      <c r="C107" s="15" t="s">
        <v>28</v>
      </c>
      <c r="D107" s="15">
        <v>1</v>
      </c>
      <c r="E107" s="15">
        <v>10</v>
      </c>
      <c r="F107" s="15">
        <f t="shared" ref="F107" si="43">E107*D107</f>
        <v>10</v>
      </c>
      <c r="G107" s="15">
        <v>0.8</v>
      </c>
      <c r="H107" s="16">
        <f>F107*G107</f>
        <v>8</v>
      </c>
      <c r="I107" s="16">
        <f t="shared" si="42"/>
        <v>33.333333333333336</v>
      </c>
      <c r="J107" s="21"/>
      <c r="K107" s="19"/>
      <c r="L107" s="15">
        <v>6</v>
      </c>
      <c r="M107" s="15" t="s">
        <v>26</v>
      </c>
      <c r="N107" s="9"/>
      <c r="O107" s="9"/>
    </row>
    <row r="108" spans="1:15" x14ac:dyDescent="0.4">
      <c r="A108" s="20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9"/>
      <c r="O108" s="9"/>
    </row>
    <row r="109" spans="1:15" x14ac:dyDescent="0.4">
      <c r="A109" s="159" t="s">
        <v>99</v>
      </c>
      <c r="B109" s="15" t="s">
        <v>100</v>
      </c>
      <c r="C109" s="15" t="s">
        <v>83</v>
      </c>
      <c r="D109" s="26">
        <v>1</v>
      </c>
      <c r="E109" s="15">
        <v>42</v>
      </c>
      <c r="F109" s="15">
        <f>E109*D109</f>
        <v>42</v>
      </c>
      <c r="G109" s="15">
        <v>0.8</v>
      </c>
      <c r="H109" s="16">
        <f>F109*G109</f>
        <v>33.6</v>
      </c>
      <c r="I109" s="16"/>
      <c r="J109" s="19"/>
      <c r="K109" s="19">
        <f t="shared" ref="K109:K110" si="44">(H109/240)*1000</f>
        <v>140</v>
      </c>
      <c r="L109" s="15">
        <v>6</v>
      </c>
      <c r="M109" s="15" t="s">
        <v>26</v>
      </c>
      <c r="N109" s="9"/>
      <c r="O109" s="9"/>
    </row>
    <row r="110" spans="1:15" x14ac:dyDescent="0.4">
      <c r="A110" s="159"/>
      <c r="B110" s="15" t="s">
        <v>27</v>
      </c>
      <c r="C110" s="15" t="s">
        <v>28</v>
      </c>
      <c r="D110" s="15">
        <v>1</v>
      </c>
      <c r="E110" s="15">
        <v>10</v>
      </c>
      <c r="F110" s="15">
        <f t="shared" ref="F110" si="45">E110*D110</f>
        <v>10</v>
      </c>
      <c r="G110" s="15">
        <v>0.8</v>
      </c>
      <c r="H110" s="16">
        <f>F110*G110</f>
        <v>8</v>
      </c>
      <c r="I110" s="16"/>
      <c r="J110" s="19"/>
      <c r="K110" s="19">
        <f t="shared" si="44"/>
        <v>33.333333333333336</v>
      </c>
      <c r="L110" s="15">
        <v>6</v>
      </c>
      <c r="M110" s="15" t="s">
        <v>26</v>
      </c>
    </row>
    <row r="111" spans="1:15" x14ac:dyDescent="0.4">
      <c r="A111" s="20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</row>
    <row r="112" spans="1:15" x14ac:dyDescent="0.4">
      <c r="A112" s="161" t="s">
        <v>101</v>
      </c>
      <c r="B112" s="21"/>
      <c r="C112" s="21"/>
      <c r="D112" s="21"/>
      <c r="E112" s="21"/>
      <c r="F112" s="15"/>
      <c r="G112" s="21"/>
      <c r="H112" s="21"/>
      <c r="I112" s="21"/>
      <c r="J112" s="21"/>
      <c r="K112" s="21"/>
      <c r="L112" s="15"/>
      <c r="M112" s="15"/>
    </row>
    <row r="113" spans="1:18" x14ac:dyDescent="0.4">
      <c r="A113" s="162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</row>
    <row r="114" spans="1:18" x14ac:dyDescent="0.4">
      <c r="A114" s="20"/>
      <c r="B114" s="27"/>
      <c r="C114" s="27"/>
      <c r="D114" s="27">
        <f>SUM(D6:D112)</f>
        <v>247</v>
      </c>
      <c r="E114" s="27">
        <f>SUM(E6:E112)</f>
        <v>3110</v>
      </c>
      <c r="F114" s="27">
        <f>SUM(F6:F112)</f>
        <v>14264</v>
      </c>
      <c r="G114" s="27"/>
      <c r="H114" s="27">
        <f>SUM(H6:H112)</f>
        <v>11411.2</v>
      </c>
      <c r="I114" s="28">
        <f>SUM(I6:I112)</f>
        <v>16353.333333333334</v>
      </c>
      <c r="J114" s="29">
        <f>SUM(J6:J112)</f>
        <v>16560</v>
      </c>
      <c r="K114" s="30">
        <f>SUM(K6:K112)</f>
        <v>14633.333333333334</v>
      </c>
      <c r="L114" s="15"/>
      <c r="M114" s="15"/>
    </row>
    <row r="115" spans="1:18" x14ac:dyDescent="0.4">
      <c r="A115" s="1"/>
      <c r="B115" s="1"/>
      <c r="F115" s="1"/>
      <c r="G115" s="1"/>
      <c r="H115" s="1"/>
      <c r="I115" s="1"/>
      <c r="J115" s="1"/>
      <c r="K115" s="1"/>
      <c r="L115" s="1"/>
      <c r="M115" s="1"/>
      <c r="R115" s="31"/>
    </row>
    <row r="116" spans="1:18" x14ac:dyDescent="0.4">
      <c r="A116" s="1"/>
      <c r="B116" s="32"/>
      <c r="C116" s="33"/>
      <c r="F116" s="1"/>
      <c r="G116" s="1"/>
      <c r="H116" s="1"/>
      <c r="I116" s="32"/>
      <c r="J116" s="32"/>
      <c r="K116" s="32"/>
      <c r="L116" s="32"/>
      <c r="M116" s="32"/>
      <c r="R116" s="34"/>
    </row>
    <row r="117" spans="1:18" x14ac:dyDescent="0.4">
      <c r="A117" s="1"/>
      <c r="B117" s="1"/>
      <c r="F117" s="1"/>
      <c r="G117" s="1"/>
      <c r="H117" s="1"/>
      <c r="I117" s="1"/>
      <c r="J117" s="1"/>
      <c r="K117" s="1"/>
      <c r="L117" s="1"/>
      <c r="M117" s="1"/>
    </row>
    <row r="118" spans="1:18" x14ac:dyDescent="0.4">
      <c r="A118" s="1"/>
      <c r="B118" s="1"/>
      <c r="F118" s="1"/>
      <c r="G118" s="1"/>
      <c r="H118" s="1"/>
      <c r="I118" s="1"/>
      <c r="J118" s="1"/>
      <c r="K118" s="1"/>
      <c r="L118" s="1"/>
      <c r="M118" s="1"/>
    </row>
    <row r="119" spans="1:18" x14ac:dyDescent="0.4">
      <c r="A119" s="1"/>
      <c r="B119" s="1"/>
      <c r="F119" s="1"/>
      <c r="G119" s="1"/>
      <c r="H119" s="1"/>
      <c r="I119" s="1"/>
      <c r="J119" s="1"/>
      <c r="K119" s="1"/>
      <c r="L119" s="1"/>
      <c r="M119" s="1"/>
    </row>
    <row r="121" spans="1:18" x14ac:dyDescent="0.4">
      <c r="B121" s="9"/>
      <c r="C121" s="33"/>
      <c r="L121" s="9"/>
      <c r="M121" s="9"/>
    </row>
    <row r="122" spans="1:18" x14ac:dyDescent="0.4">
      <c r="B122" s="31"/>
      <c r="C122" s="33"/>
      <c r="L122" s="9"/>
      <c r="M122" s="9"/>
    </row>
  </sheetData>
  <mergeCells count="32">
    <mergeCell ref="A75:A76"/>
    <mergeCell ref="A78:A79"/>
    <mergeCell ref="A109:A110"/>
    <mergeCell ref="A112:A113"/>
    <mergeCell ref="A85:A87"/>
    <mergeCell ref="A89:A92"/>
    <mergeCell ref="A94:A95"/>
    <mergeCell ref="A99:A100"/>
    <mergeCell ref="A102:A104"/>
    <mergeCell ref="A106:A107"/>
    <mergeCell ref="A81:A83"/>
    <mergeCell ref="A32:A37"/>
    <mergeCell ref="A39:A43"/>
    <mergeCell ref="A45:A47"/>
    <mergeCell ref="A55:A57"/>
    <mergeCell ref="R73:R74"/>
    <mergeCell ref="A61:A63"/>
    <mergeCell ref="A69:A70"/>
    <mergeCell ref="A72:A73"/>
    <mergeCell ref="A28:A30"/>
    <mergeCell ref="A24:A26"/>
    <mergeCell ref="A1:M1"/>
    <mergeCell ref="A2:M2"/>
    <mergeCell ref="A4:A5"/>
    <mergeCell ref="B4:C4"/>
    <mergeCell ref="D4:D5"/>
    <mergeCell ref="A6:A7"/>
    <mergeCell ref="A9:A10"/>
    <mergeCell ref="A12:A13"/>
    <mergeCell ref="A15:A16"/>
    <mergeCell ref="A18:A19"/>
    <mergeCell ref="A21:A2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0"/>
  <sheetViews>
    <sheetView topLeftCell="B1" zoomScale="75" zoomScaleNormal="75" zoomScalePageLayoutView="75" workbookViewId="0">
      <selection activeCell="H95" sqref="H95"/>
    </sheetView>
  </sheetViews>
  <sheetFormatPr defaultColWidth="8.875" defaultRowHeight="15.75" x14ac:dyDescent="0.25"/>
  <cols>
    <col min="1" max="1" width="39.875" customWidth="1"/>
    <col min="2" max="2" width="43.375" customWidth="1"/>
    <col min="3" max="3" width="32.625" customWidth="1"/>
    <col min="4" max="4" width="15" customWidth="1"/>
    <col min="5" max="5" width="28.875" customWidth="1"/>
    <col min="6" max="6" width="33.625" customWidth="1"/>
    <col min="7" max="7" width="24.5" customWidth="1"/>
    <col min="8" max="8" width="26.375" customWidth="1"/>
    <col min="9" max="9" width="25.625" customWidth="1"/>
    <col min="10" max="10" width="26.125" customWidth="1"/>
    <col min="11" max="11" width="23.375" customWidth="1"/>
    <col min="12" max="12" width="27" customWidth="1"/>
    <col min="13" max="13" width="59.125" customWidth="1"/>
  </cols>
  <sheetData>
    <row r="1" spans="1:13" ht="25.5" x14ac:dyDescent="0.25">
      <c r="A1" s="148" t="s">
        <v>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</row>
    <row r="2" spans="1:13" ht="25.5" x14ac:dyDescent="0.25">
      <c r="A2" s="148" t="s">
        <v>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</row>
    <row r="3" spans="1:13" ht="26.25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5.5" x14ac:dyDescent="0.35">
      <c r="A4" s="149" t="s">
        <v>2</v>
      </c>
      <c r="B4" s="150" t="s">
        <v>3</v>
      </c>
      <c r="C4" s="150"/>
      <c r="D4" s="150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</row>
    <row r="5" spans="1:13" ht="25.5" x14ac:dyDescent="0.35">
      <c r="A5" s="149"/>
      <c r="B5" s="4" t="s">
        <v>12</v>
      </c>
      <c r="C5" s="4" t="s">
        <v>102</v>
      </c>
      <c r="D5" s="150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</row>
    <row r="6" spans="1:13" ht="26.25" x14ac:dyDescent="0.4">
      <c r="A6" s="144" t="s">
        <v>23</v>
      </c>
      <c r="B6" s="15" t="s">
        <v>41</v>
      </c>
      <c r="C6" s="15" t="s">
        <v>103</v>
      </c>
      <c r="D6" s="15">
        <v>1</v>
      </c>
      <c r="E6" s="15">
        <v>250</v>
      </c>
      <c r="F6" s="15">
        <f>E6*D6</f>
        <v>250</v>
      </c>
      <c r="G6" s="15">
        <v>0.4</v>
      </c>
      <c r="H6" s="16">
        <f>F6*G6</f>
        <v>100</v>
      </c>
      <c r="I6" s="16">
        <f>(H6/240)*1000</f>
        <v>416.66666666666669</v>
      </c>
      <c r="J6" s="17"/>
      <c r="K6" s="17"/>
      <c r="L6" s="15">
        <v>20</v>
      </c>
      <c r="M6" s="15" t="s">
        <v>104</v>
      </c>
    </row>
    <row r="7" spans="1:13" ht="26.25" x14ac:dyDescent="0.25">
      <c r="A7" s="144"/>
      <c r="B7" s="15" t="s">
        <v>24</v>
      </c>
      <c r="C7" s="15" t="s">
        <v>103</v>
      </c>
      <c r="D7" s="15">
        <v>1</v>
      </c>
      <c r="E7" s="15">
        <v>250</v>
      </c>
      <c r="F7" s="15">
        <f>E7*D7</f>
        <v>250</v>
      </c>
      <c r="G7" s="15">
        <v>0.4</v>
      </c>
      <c r="H7" s="16">
        <f>F7*G7</f>
        <v>100</v>
      </c>
      <c r="I7" s="16">
        <f>(H7/240)*1000</f>
        <v>416.66666666666669</v>
      </c>
      <c r="J7" s="16"/>
      <c r="K7" s="15"/>
      <c r="L7" s="15">
        <v>20</v>
      </c>
      <c r="M7" s="15" t="s">
        <v>104</v>
      </c>
    </row>
    <row r="8" spans="1:13" ht="26.25" x14ac:dyDescent="0.25">
      <c r="A8" s="35"/>
      <c r="B8" s="15"/>
      <c r="C8" s="15"/>
      <c r="D8" s="15"/>
      <c r="E8" s="15"/>
      <c r="F8" s="15"/>
      <c r="G8" s="15"/>
      <c r="H8" s="16"/>
      <c r="I8" s="16"/>
      <c r="J8" s="15"/>
      <c r="K8" s="15"/>
      <c r="L8" s="15"/>
      <c r="M8" s="15"/>
    </row>
    <row r="9" spans="1:13" ht="26.25" x14ac:dyDescent="0.4">
      <c r="A9" s="147" t="s">
        <v>29</v>
      </c>
      <c r="B9" s="15" t="s">
        <v>39</v>
      </c>
      <c r="C9" s="15" t="s">
        <v>103</v>
      </c>
      <c r="D9" s="15">
        <v>1</v>
      </c>
      <c r="E9" s="15">
        <v>250</v>
      </c>
      <c r="F9" s="15">
        <f>E9*D9</f>
        <v>250</v>
      </c>
      <c r="G9" s="15">
        <v>0.4</v>
      </c>
      <c r="H9" s="16">
        <f t="shared" ref="H9:H10" si="0">F9*G9</f>
        <v>100</v>
      </c>
      <c r="I9" s="15"/>
      <c r="J9" s="19">
        <f>(H9/240)*1000</f>
        <v>416.66666666666669</v>
      </c>
      <c r="K9" s="17"/>
      <c r="L9" s="15">
        <v>20</v>
      </c>
      <c r="M9" s="15" t="s">
        <v>104</v>
      </c>
    </row>
    <row r="10" spans="1:13" ht="26.25" x14ac:dyDescent="0.4">
      <c r="A10" s="147"/>
      <c r="B10" s="15" t="s">
        <v>35</v>
      </c>
      <c r="C10" s="15" t="s">
        <v>103</v>
      </c>
      <c r="D10" s="15">
        <v>1</v>
      </c>
      <c r="E10" s="15">
        <v>250</v>
      </c>
      <c r="F10" s="15">
        <f>E10*D10</f>
        <v>250</v>
      </c>
      <c r="G10" s="15">
        <v>0.4</v>
      </c>
      <c r="H10" s="16">
        <f t="shared" si="0"/>
        <v>100</v>
      </c>
      <c r="I10" s="15"/>
      <c r="J10" s="19">
        <f>(H10/240)*1000</f>
        <v>416.66666666666669</v>
      </c>
      <c r="K10" s="17"/>
      <c r="L10" s="15">
        <v>20</v>
      </c>
      <c r="M10" s="15" t="s">
        <v>104</v>
      </c>
    </row>
    <row r="11" spans="1:13" ht="26.25" x14ac:dyDescent="0.4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15"/>
      <c r="M11" s="15"/>
    </row>
    <row r="12" spans="1:13" ht="26.25" x14ac:dyDescent="0.4">
      <c r="A12" s="36" t="s">
        <v>31</v>
      </c>
      <c r="B12" s="15" t="s">
        <v>42</v>
      </c>
      <c r="C12" s="15" t="s">
        <v>103</v>
      </c>
      <c r="D12" s="15">
        <v>2</v>
      </c>
      <c r="E12" s="15">
        <v>250</v>
      </c>
      <c r="F12" s="15">
        <f>E12*D12</f>
        <v>500</v>
      </c>
      <c r="G12" s="15">
        <v>0.4</v>
      </c>
      <c r="H12" s="16">
        <f t="shared" ref="H12" si="1">F12*G12</f>
        <v>200</v>
      </c>
      <c r="I12" s="15"/>
      <c r="J12" s="17"/>
      <c r="K12" s="19">
        <f>(H12/240)*1000</f>
        <v>833.33333333333337</v>
      </c>
      <c r="L12" s="15">
        <v>20</v>
      </c>
      <c r="M12" s="15" t="s">
        <v>104</v>
      </c>
    </row>
    <row r="13" spans="1:13" ht="26.25" x14ac:dyDescent="0.4">
      <c r="A13" s="35"/>
      <c r="B13" s="15"/>
      <c r="C13" s="15"/>
      <c r="D13" s="15"/>
      <c r="E13" s="15"/>
      <c r="F13" s="15"/>
      <c r="G13" s="15"/>
      <c r="H13" s="16"/>
      <c r="I13" s="15"/>
      <c r="J13" s="17"/>
      <c r="K13" s="19"/>
      <c r="L13" s="15"/>
      <c r="M13" s="15"/>
    </row>
    <row r="14" spans="1:13" ht="26.25" x14ac:dyDescent="0.4">
      <c r="A14" s="164" t="s">
        <v>34</v>
      </c>
      <c r="B14" s="15" t="s">
        <v>37</v>
      </c>
      <c r="C14" s="15" t="s">
        <v>103</v>
      </c>
      <c r="D14" s="15">
        <v>1</v>
      </c>
      <c r="E14" s="15">
        <v>250</v>
      </c>
      <c r="F14" s="15">
        <f>E14*D14</f>
        <v>250</v>
      </c>
      <c r="G14" s="15">
        <v>0.4</v>
      </c>
      <c r="H14" s="16">
        <f t="shared" ref="H14:H15" si="2">F14*G14</f>
        <v>100</v>
      </c>
      <c r="I14" s="16">
        <f t="shared" ref="I14:I15" si="3">(H14/240)*1000</f>
        <v>416.66666666666669</v>
      </c>
      <c r="J14" s="17"/>
      <c r="K14" s="17"/>
      <c r="L14" s="15">
        <v>20</v>
      </c>
      <c r="M14" s="15" t="s">
        <v>104</v>
      </c>
    </row>
    <row r="15" spans="1:13" ht="26.25" x14ac:dyDescent="0.4">
      <c r="A15" s="165"/>
      <c r="B15" s="15" t="s">
        <v>90</v>
      </c>
      <c r="C15" s="15" t="s">
        <v>103</v>
      </c>
      <c r="D15" s="15">
        <v>1</v>
      </c>
      <c r="E15" s="15">
        <v>250</v>
      </c>
      <c r="F15" s="15">
        <f>E15*D15</f>
        <v>250</v>
      </c>
      <c r="G15" s="15">
        <v>0.4</v>
      </c>
      <c r="H15" s="16">
        <f t="shared" si="2"/>
        <v>100</v>
      </c>
      <c r="I15" s="16">
        <f t="shared" si="3"/>
        <v>416.66666666666669</v>
      </c>
      <c r="J15" s="17"/>
      <c r="K15" s="17"/>
      <c r="L15" s="15">
        <v>20</v>
      </c>
      <c r="M15" s="15" t="s">
        <v>104</v>
      </c>
    </row>
    <row r="16" spans="1:13" ht="26.25" x14ac:dyDescent="0.4">
      <c r="A16" s="21"/>
      <c r="B16" s="21"/>
      <c r="C16" s="21"/>
      <c r="D16" s="21"/>
      <c r="E16" s="21"/>
      <c r="F16" s="15"/>
      <c r="G16" s="21"/>
      <c r="H16" s="21"/>
      <c r="I16" s="21"/>
      <c r="J16" s="21"/>
      <c r="K16" s="21"/>
      <c r="L16" s="15"/>
      <c r="M16" s="15"/>
    </row>
    <row r="17" spans="1:13" ht="26.25" x14ac:dyDescent="0.4">
      <c r="A17" s="166" t="s">
        <v>36</v>
      </c>
      <c r="B17" s="15" t="s">
        <v>74</v>
      </c>
      <c r="C17" s="15" t="s">
        <v>103</v>
      </c>
      <c r="D17" s="15">
        <v>1</v>
      </c>
      <c r="E17" s="15">
        <v>250</v>
      </c>
      <c r="F17" s="15">
        <f t="shared" ref="F17:F18" si="4">E17*D17</f>
        <v>250</v>
      </c>
      <c r="G17" s="15">
        <v>0.4</v>
      </c>
      <c r="H17" s="16">
        <f t="shared" ref="H17:H18" si="5">F17*G17</f>
        <v>100</v>
      </c>
      <c r="I17" s="15"/>
      <c r="J17" s="19">
        <f>(H17/240)*1000</f>
        <v>416.66666666666669</v>
      </c>
      <c r="K17" s="17"/>
      <c r="L17" s="15">
        <v>20</v>
      </c>
      <c r="M17" s="15" t="s">
        <v>104</v>
      </c>
    </row>
    <row r="18" spans="1:13" ht="26.25" x14ac:dyDescent="0.4">
      <c r="A18" s="167"/>
      <c r="B18" s="15" t="s">
        <v>78</v>
      </c>
      <c r="C18" s="15" t="s">
        <v>103</v>
      </c>
      <c r="D18" s="15">
        <v>1</v>
      </c>
      <c r="E18" s="15">
        <v>250</v>
      </c>
      <c r="F18" s="15">
        <f t="shared" si="4"/>
        <v>250</v>
      </c>
      <c r="G18" s="15">
        <v>0.4</v>
      </c>
      <c r="H18" s="16">
        <f t="shared" si="5"/>
        <v>100</v>
      </c>
      <c r="I18" s="15"/>
      <c r="J18" s="19">
        <f>(H18/240)*1000</f>
        <v>416.66666666666669</v>
      </c>
      <c r="K18" s="17"/>
      <c r="L18" s="15">
        <v>20</v>
      </c>
      <c r="M18" s="15" t="s">
        <v>104</v>
      </c>
    </row>
    <row r="19" spans="1:13" ht="26.25" x14ac:dyDescent="0.4">
      <c r="A19" s="35"/>
      <c r="B19" s="15"/>
      <c r="C19" s="15"/>
      <c r="D19" s="15"/>
      <c r="E19" s="15"/>
      <c r="F19" s="15"/>
      <c r="G19" s="15"/>
      <c r="H19" s="16"/>
      <c r="I19" s="16"/>
      <c r="J19" s="17"/>
      <c r="K19" s="17"/>
      <c r="L19" s="15"/>
      <c r="M19" s="15"/>
    </row>
    <row r="20" spans="1:13" ht="26.25" x14ac:dyDescent="0.4">
      <c r="A20" s="36" t="s">
        <v>38</v>
      </c>
      <c r="B20" s="15" t="s">
        <v>76</v>
      </c>
      <c r="C20" s="15" t="s">
        <v>103</v>
      </c>
      <c r="D20" s="15">
        <v>1</v>
      </c>
      <c r="E20" s="15">
        <v>250</v>
      </c>
      <c r="F20" s="15">
        <f>E20*D20</f>
        <v>250</v>
      </c>
      <c r="G20" s="15">
        <v>0.4</v>
      </c>
      <c r="H20" s="16">
        <f t="shared" ref="H20" si="6">F20*G20</f>
        <v>100</v>
      </c>
      <c r="I20" s="15"/>
      <c r="J20" s="17"/>
      <c r="K20" s="19">
        <f>(H20/240)*1000</f>
        <v>416.66666666666669</v>
      </c>
      <c r="L20" s="15">
        <v>20</v>
      </c>
      <c r="M20" s="15" t="s">
        <v>104</v>
      </c>
    </row>
    <row r="21" spans="1:13" ht="26.25" x14ac:dyDescent="0.4">
      <c r="A21" s="35"/>
      <c r="B21" s="15"/>
      <c r="C21" s="15"/>
      <c r="D21" s="15"/>
      <c r="E21" s="15"/>
      <c r="F21" s="15"/>
      <c r="G21" s="15"/>
      <c r="H21" s="16"/>
      <c r="I21" s="17"/>
      <c r="J21" s="17"/>
      <c r="K21" s="19"/>
      <c r="L21" s="15"/>
      <c r="M21" s="15"/>
    </row>
    <row r="22" spans="1:13" ht="26.25" x14ac:dyDescent="0.4">
      <c r="A22" s="164" t="s">
        <v>40</v>
      </c>
      <c r="B22" s="15" t="s">
        <v>84</v>
      </c>
      <c r="C22" s="15" t="s">
        <v>103</v>
      </c>
      <c r="D22" s="15">
        <v>1</v>
      </c>
      <c r="E22" s="15">
        <v>250</v>
      </c>
      <c r="F22" s="15">
        <f t="shared" ref="F22:F23" si="7">E22*D22</f>
        <v>250</v>
      </c>
      <c r="G22" s="15">
        <v>0.4</v>
      </c>
      <c r="H22" s="16">
        <f t="shared" ref="H22:H23" si="8">F22*G22</f>
        <v>100</v>
      </c>
      <c r="I22" s="16">
        <f t="shared" ref="I22:I23" si="9">(H22/240)*1000</f>
        <v>416.66666666666669</v>
      </c>
      <c r="J22" s="21"/>
      <c r="K22" s="21"/>
      <c r="L22" s="15">
        <v>20</v>
      </c>
      <c r="M22" s="15" t="s">
        <v>104</v>
      </c>
    </row>
    <row r="23" spans="1:13" ht="26.25" x14ac:dyDescent="0.4">
      <c r="A23" s="165"/>
      <c r="B23" s="15" t="s">
        <v>86</v>
      </c>
      <c r="C23" s="15" t="s">
        <v>103</v>
      </c>
      <c r="D23" s="15">
        <v>1</v>
      </c>
      <c r="E23" s="15">
        <v>250</v>
      </c>
      <c r="F23" s="15">
        <f t="shared" si="7"/>
        <v>250</v>
      </c>
      <c r="G23" s="15">
        <v>0.4</v>
      </c>
      <c r="H23" s="16">
        <f t="shared" si="8"/>
        <v>100</v>
      </c>
      <c r="I23" s="16">
        <f t="shared" si="9"/>
        <v>416.66666666666669</v>
      </c>
      <c r="J23" s="21"/>
      <c r="K23" s="21"/>
      <c r="L23" s="15">
        <v>20</v>
      </c>
      <c r="M23" s="15" t="s">
        <v>104</v>
      </c>
    </row>
    <row r="24" spans="1:13" ht="26.25" x14ac:dyDescent="0.4">
      <c r="A24" s="35"/>
      <c r="B24" s="15"/>
      <c r="C24" s="15"/>
      <c r="D24" s="15"/>
      <c r="E24" s="15"/>
      <c r="F24" s="15"/>
      <c r="G24" s="15"/>
      <c r="H24" s="16"/>
      <c r="I24" s="16"/>
      <c r="J24" s="21"/>
      <c r="K24" s="21"/>
      <c r="L24" s="15"/>
      <c r="M24" s="15"/>
    </row>
    <row r="25" spans="1:13" ht="26.25" x14ac:dyDescent="0.4">
      <c r="A25" s="37" t="s">
        <v>43</v>
      </c>
      <c r="B25" s="15" t="s">
        <v>59</v>
      </c>
      <c r="C25" s="15" t="s">
        <v>103</v>
      </c>
      <c r="D25" s="15">
        <v>2</v>
      </c>
      <c r="E25" s="15">
        <v>250</v>
      </c>
      <c r="F25" s="15">
        <f>E25*D25</f>
        <v>500</v>
      </c>
      <c r="G25" s="15">
        <v>0.4</v>
      </c>
      <c r="H25" s="16">
        <f t="shared" ref="H25" si="10">F25*G25</f>
        <v>200</v>
      </c>
      <c r="I25" s="15"/>
      <c r="J25" s="19">
        <f>(H25/240)*1000</f>
        <v>833.33333333333337</v>
      </c>
      <c r="K25" s="19"/>
      <c r="L25" s="15">
        <v>20</v>
      </c>
      <c r="M25" s="15" t="s">
        <v>104</v>
      </c>
    </row>
    <row r="26" spans="1:13" ht="26.25" x14ac:dyDescent="0.4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5"/>
      <c r="M26" s="15"/>
    </row>
    <row r="27" spans="1:13" ht="26.25" x14ac:dyDescent="0.4">
      <c r="A27" s="36" t="s">
        <v>48</v>
      </c>
      <c r="B27" s="15" t="s">
        <v>59</v>
      </c>
      <c r="C27" s="15" t="s">
        <v>103</v>
      </c>
      <c r="D27" s="15">
        <v>1</v>
      </c>
      <c r="E27" s="15">
        <v>250</v>
      </c>
      <c r="F27" s="15">
        <f t="shared" ref="F27" si="11">E27*D27</f>
        <v>250</v>
      </c>
      <c r="G27" s="15">
        <v>0.4</v>
      </c>
      <c r="H27" s="16">
        <f t="shared" ref="H27" si="12">F27*G27</f>
        <v>100</v>
      </c>
      <c r="I27" s="15"/>
      <c r="J27" s="17"/>
      <c r="K27" s="19">
        <f>(H27/240)*1000</f>
        <v>416.66666666666669</v>
      </c>
      <c r="L27" s="15">
        <v>20</v>
      </c>
      <c r="M27" s="15" t="s">
        <v>104</v>
      </c>
    </row>
    <row r="28" spans="1:13" ht="26.25" x14ac:dyDescent="0.4">
      <c r="A28" s="35"/>
      <c r="B28" s="15"/>
      <c r="C28" s="15"/>
      <c r="D28" s="15"/>
      <c r="E28" s="15"/>
      <c r="F28" s="15"/>
      <c r="G28" s="15"/>
      <c r="H28" s="16"/>
      <c r="I28" s="21"/>
      <c r="J28" s="19"/>
      <c r="K28" s="21"/>
      <c r="L28" s="15"/>
      <c r="M28" s="15"/>
    </row>
    <row r="29" spans="1:13" ht="26.25" x14ac:dyDescent="0.4">
      <c r="A29" s="164" t="s">
        <v>57</v>
      </c>
      <c r="B29" s="15" t="s">
        <v>58</v>
      </c>
      <c r="C29" s="15" t="s">
        <v>103</v>
      </c>
      <c r="D29" s="15">
        <v>1</v>
      </c>
      <c r="E29" s="15">
        <v>250</v>
      </c>
      <c r="F29" s="15">
        <f t="shared" ref="F29:F30" si="13">E29*D29</f>
        <v>250</v>
      </c>
      <c r="G29" s="15">
        <v>0.4</v>
      </c>
      <c r="H29" s="16">
        <f t="shared" ref="H29:H30" si="14">F29*G29</f>
        <v>100</v>
      </c>
      <c r="I29" s="16">
        <f t="shared" ref="I29:I30" si="15">(H29/240)*1000</f>
        <v>416.66666666666669</v>
      </c>
      <c r="J29" s="21"/>
      <c r="K29" s="21"/>
      <c r="L29" s="15">
        <v>20</v>
      </c>
      <c r="M29" s="15" t="s">
        <v>104</v>
      </c>
    </row>
    <row r="30" spans="1:13" ht="26.25" x14ac:dyDescent="0.4">
      <c r="A30" s="165"/>
      <c r="B30" s="15" t="s">
        <v>60</v>
      </c>
      <c r="C30" s="15" t="s">
        <v>103</v>
      </c>
      <c r="D30" s="15">
        <v>1</v>
      </c>
      <c r="E30" s="15">
        <v>250</v>
      </c>
      <c r="F30" s="15">
        <f t="shared" si="13"/>
        <v>250</v>
      </c>
      <c r="G30" s="15">
        <v>0.4</v>
      </c>
      <c r="H30" s="16">
        <f t="shared" si="14"/>
        <v>100</v>
      </c>
      <c r="I30" s="16">
        <f t="shared" si="15"/>
        <v>416.66666666666669</v>
      </c>
      <c r="J30" s="21"/>
      <c r="K30" s="21"/>
      <c r="L30" s="15">
        <v>20</v>
      </c>
      <c r="M30" s="15" t="s">
        <v>104</v>
      </c>
    </row>
    <row r="31" spans="1:13" ht="26.25" x14ac:dyDescent="0.4">
      <c r="A31" s="35"/>
      <c r="B31" s="15"/>
      <c r="C31" s="15"/>
      <c r="D31" s="15"/>
      <c r="E31" s="15"/>
      <c r="F31" s="15"/>
      <c r="G31" s="15"/>
      <c r="H31" s="16"/>
      <c r="I31" s="21"/>
      <c r="J31" s="21"/>
      <c r="K31" s="19"/>
      <c r="L31" s="15"/>
      <c r="M31" s="15"/>
    </row>
    <row r="32" spans="1:13" ht="26.25" x14ac:dyDescent="0.4">
      <c r="A32" s="37" t="s">
        <v>61</v>
      </c>
      <c r="B32" s="15" t="s">
        <v>62</v>
      </c>
      <c r="C32" s="15" t="s">
        <v>103</v>
      </c>
      <c r="D32" s="15">
        <v>2</v>
      </c>
      <c r="E32" s="15">
        <v>250</v>
      </c>
      <c r="F32" s="15">
        <f>E32*D32</f>
        <v>500</v>
      </c>
      <c r="G32" s="15">
        <v>0.4</v>
      </c>
      <c r="H32" s="16">
        <f t="shared" ref="H32" si="16">F32*G32</f>
        <v>200</v>
      </c>
      <c r="I32" s="15"/>
      <c r="J32" s="19">
        <f>(H32/240)*1000</f>
        <v>833.33333333333337</v>
      </c>
      <c r="K32" s="19"/>
      <c r="L32" s="15">
        <v>20</v>
      </c>
      <c r="M32" s="15" t="s">
        <v>104</v>
      </c>
    </row>
    <row r="33" spans="1:13" ht="26.25" x14ac:dyDescent="0.4">
      <c r="A33" s="35"/>
      <c r="B33" s="15"/>
      <c r="C33" s="15"/>
      <c r="D33" s="15"/>
      <c r="E33" s="15"/>
      <c r="F33" s="15"/>
      <c r="G33" s="15"/>
      <c r="H33" s="16"/>
      <c r="I33" s="21"/>
      <c r="J33" s="21"/>
      <c r="K33" s="19"/>
      <c r="L33" s="15"/>
      <c r="M33" s="15"/>
    </row>
    <row r="34" spans="1:13" ht="26.25" x14ac:dyDescent="0.4">
      <c r="A34" s="36" t="s">
        <v>63</v>
      </c>
      <c r="B34" s="15" t="s">
        <v>62</v>
      </c>
      <c r="C34" s="15" t="s">
        <v>103</v>
      </c>
      <c r="D34" s="15">
        <v>2</v>
      </c>
      <c r="E34" s="15">
        <v>250</v>
      </c>
      <c r="F34" s="15">
        <f>E34*D34</f>
        <v>500</v>
      </c>
      <c r="G34" s="15">
        <v>0.4</v>
      </c>
      <c r="H34" s="16">
        <f t="shared" ref="H34" si="17">F34*G34</f>
        <v>200</v>
      </c>
      <c r="I34" s="15"/>
      <c r="J34" s="17"/>
      <c r="K34" s="19">
        <f>(H34/240)*1000</f>
        <v>833.33333333333337</v>
      </c>
      <c r="L34" s="15">
        <v>20</v>
      </c>
      <c r="M34" s="15" t="s">
        <v>104</v>
      </c>
    </row>
    <row r="35" spans="1:13" ht="26.25" x14ac:dyDescent="0.4">
      <c r="A35" s="35"/>
      <c r="B35" s="15"/>
      <c r="C35" s="15"/>
      <c r="D35" s="15"/>
      <c r="E35" s="15"/>
      <c r="F35" s="15"/>
      <c r="G35" s="15"/>
      <c r="H35" s="16"/>
      <c r="I35" s="21"/>
      <c r="J35" s="21"/>
      <c r="K35" s="19"/>
      <c r="L35" s="15"/>
      <c r="M35" s="15"/>
    </row>
    <row r="36" spans="1:13" ht="26.25" x14ac:dyDescent="0.4">
      <c r="A36" s="38" t="s">
        <v>64</v>
      </c>
      <c r="B36" s="15" t="s">
        <v>62</v>
      </c>
      <c r="C36" s="15" t="s">
        <v>103</v>
      </c>
      <c r="D36" s="15">
        <v>2</v>
      </c>
      <c r="E36" s="15">
        <v>250</v>
      </c>
      <c r="F36" s="15">
        <f>E36*D36</f>
        <v>500</v>
      </c>
      <c r="G36" s="15">
        <v>0.4</v>
      </c>
      <c r="H36" s="16">
        <f t="shared" ref="H36" si="18">F36*G36</f>
        <v>200</v>
      </c>
      <c r="I36" s="16">
        <f t="shared" ref="I36" si="19">(H36/240)*1000</f>
        <v>833.33333333333337</v>
      </c>
      <c r="J36" s="21"/>
      <c r="K36" s="21"/>
      <c r="L36" s="15">
        <v>20</v>
      </c>
      <c r="M36" s="15" t="s">
        <v>104</v>
      </c>
    </row>
    <row r="37" spans="1:13" ht="26.25" x14ac:dyDescent="0.4">
      <c r="A37" s="21"/>
      <c r="B37" s="15"/>
      <c r="C37" s="15"/>
      <c r="D37" s="15"/>
      <c r="E37" s="15"/>
      <c r="F37" s="15"/>
      <c r="G37" s="15"/>
      <c r="H37" s="16"/>
      <c r="I37" s="16"/>
      <c r="J37" s="21"/>
      <c r="K37" s="21"/>
      <c r="L37" s="15"/>
      <c r="M37" s="15"/>
    </row>
    <row r="38" spans="1:13" ht="26.25" x14ac:dyDescent="0.4">
      <c r="A38" s="37" t="s">
        <v>65</v>
      </c>
      <c r="B38" s="15" t="s">
        <v>62</v>
      </c>
      <c r="C38" s="15" t="s">
        <v>103</v>
      </c>
      <c r="D38" s="15">
        <v>2</v>
      </c>
      <c r="E38" s="15">
        <v>250</v>
      </c>
      <c r="F38" s="15">
        <f>E38*D38</f>
        <v>500</v>
      </c>
      <c r="G38" s="15">
        <v>0.4</v>
      </c>
      <c r="H38" s="16">
        <f t="shared" ref="H38" si="20">F38*G38</f>
        <v>200</v>
      </c>
      <c r="I38" s="15"/>
      <c r="J38" s="19">
        <f>(H38/240)*1000</f>
        <v>833.33333333333337</v>
      </c>
      <c r="K38" s="19"/>
      <c r="L38" s="15">
        <v>20</v>
      </c>
      <c r="M38" s="15" t="s">
        <v>104</v>
      </c>
    </row>
    <row r="39" spans="1:13" ht="26.25" x14ac:dyDescent="0.4">
      <c r="A39" s="35"/>
      <c r="B39" s="15"/>
      <c r="C39" s="15"/>
      <c r="D39" s="15"/>
      <c r="E39" s="15"/>
      <c r="F39" s="15"/>
      <c r="G39" s="15"/>
      <c r="H39" s="16"/>
      <c r="I39" s="21"/>
      <c r="J39" s="21"/>
      <c r="K39" s="19"/>
      <c r="L39" s="15"/>
      <c r="M39" s="15"/>
    </row>
    <row r="40" spans="1:13" ht="26.25" x14ac:dyDescent="0.4">
      <c r="A40" s="36" t="s">
        <v>66</v>
      </c>
      <c r="B40" s="15" t="s">
        <v>62</v>
      </c>
      <c r="C40" s="15" t="s">
        <v>103</v>
      </c>
      <c r="D40" s="15">
        <v>2</v>
      </c>
      <c r="E40" s="15">
        <v>250</v>
      </c>
      <c r="F40" s="15">
        <f>E40*D40</f>
        <v>500</v>
      </c>
      <c r="G40" s="15">
        <v>0.4</v>
      </c>
      <c r="H40" s="16">
        <f t="shared" ref="H40" si="21">F40*G40</f>
        <v>200</v>
      </c>
      <c r="I40" s="15"/>
      <c r="J40" s="17"/>
      <c r="K40" s="19">
        <f>(H40/240)*1000</f>
        <v>833.33333333333337</v>
      </c>
      <c r="L40" s="15">
        <v>20</v>
      </c>
      <c r="M40" s="15" t="s">
        <v>104</v>
      </c>
    </row>
    <row r="41" spans="1:13" ht="26.25" x14ac:dyDescent="0.4">
      <c r="A41" s="35"/>
      <c r="B41" s="15"/>
      <c r="C41" s="15"/>
      <c r="D41" s="15"/>
      <c r="E41" s="15"/>
      <c r="F41" s="15"/>
      <c r="G41" s="15"/>
      <c r="H41" s="16"/>
      <c r="I41" s="16"/>
      <c r="J41" s="21"/>
      <c r="K41" s="21"/>
      <c r="L41" s="15"/>
      <c r="M41" s="15"/>
    </row>
    <row r="42" spans="1:13" ht="26.25" x14ac:dyDescent="0.4">
      <c r="A42" s="38" t="s">
        <v>68</v>
      </c>
      <c r="B42" s="15" t="s">
        <v>62</v>
      </c>
      <c r="C42" s="15" t="s">
        <v>103</v>
      </c>
      <c r="D42" s="15">
        <v>2</v>
      </c>
      <c r="E42" s="15">
        <v>250</v>
      </c>
      <c r="F42" s="15">
        <f>E42*D42</f>
        <v>500</v>
      </c>
      <c r="G42" s="15">
        <v>0.4</v>
      </c>
      <c r="H42" s="16">
        <f t="shared" ref="H42" si="22">F42*G42</f>
        <v>200</v>
      </c>
      <c r="I42" s="16">
        <f t="shared" ref="I42" si="23">(H42/240)*1000</f>
        <v>833.33333333333337</v>
      </c>
      <c r="J42" s="21"/>
      <c r="K42" s="21"/>
      <c r="L42" s="15">
        <v>20</v>
      </c>
      <c r="M42" s="15" t="s">
        <v>104</v>
      </c>
    </row>
    <row r="43" spans="1:13" ht="26.25" x14ac:dyDescent="0.4">
      <c r="A43" s="15"/>
      <c r="B43" s="15"/>
      <c r="C43" s="15"/>
      <c r="D43" s="15"/>
      <c r="E43" s="15"/>
      <c r="F43" s="15"/>
      <c r="G43" s="15"/>
      <c r="H43" s="16"/>
      <c r="I43" s="16"/>
      <c r="J43" s="21"/>
      <c r="K43" s="21"/>
      <c r="L43" s="15"/>
      <c r="M43" s="15"/>
    </row>
    <row r="44" spans="1:13" ht="26.25" x14ac:dyDescent="0.4">
      <c r="A44" s="37" t="s">
        <v>69</v>
      </c>
      <c r="B44" s="15" t="s">
        <v>62</v>
      </c>
      <c r="C44" s="15" t="s">
        <v>103</v>
      </c>
      <c r="D44" s="15">
        <v>2</v>
      </c>
      <c r="E44" s="15">
        <v>250</v>
      </c>
      <c r="F44" s="15">
        <f>E44*D44</f>
        <v>500</v>
      </c>
      <c r="G44" s="15">
        <v>0.4</v>
      </c>
      <c r="H44" s="16">
        <f t="shared" ref="H44" si="24">F44*G44</f>
        <v>200</v>
      </c>
      <c r="I44" s="15"/>
      <c r="J44" s="19">
        <f>(H44/240)*1000</f>
        <v>833.33333333333337</v>
      </c>
      <c r="K44" s="19"/>
      <c r="L44" s="15">
        <v>20</v>
      </c>
      <c r="M44" s="15" t="s">
        <v>104</v>
      </c>
    </row>
    <row r="45" spans="1:13" ht="26.25" x14ac:dyDescent="0.4">
      <c r="A45" s="21"/>
      <c r="B45" s="15"/>
      <c r="C45" s="15"/>
      <c r="D45" s="15"/>
      <c r="E45" s="15"/>
      <c r="F45" s="15"/>
      <c r="G45" s="15"/>
      <c r="H45" s="16"/>
      <c r="I45" s="21"/>
      <c r="J45" s="21"/>
      <c r="K45" s="19"/>
      <c r="L45" s="15"/>
      <c r="M45" s="15"/>
    </row>
    <row r="46" spans="1:13" ht="26.25" x14ac:dyDescent="0.4">
      <c r="A46" s="36" t="s">
        <v>71</v>
      </c>
      <c r="B46" s="15" t="s">
        <v>62</v>
      </c>
      <c r="C46" s="15" t="s">
        <v>103</v>
      </c>
      <c r="D46" s="15">
        <v>2</v>
      </c>
      <c r="E46" s="15">
        <v>250</v>
      </c>
      <c r="F46" s="15">
        <f>E46*D46</f>
        <v>500</v>
      </c>
      <c r="G46" s="15">
        <v>0.4</v>
      </c>
      <c r="H46" s="16">
        <f t="shared" ref="H46" si="25">F46*G46</f>
        <v>200</v>
      </c>
      <c r="I46" s="15"/>
      <c r="J46" s="17"/>
      <c r="K46" s="19">
        <f>(H46/240)*1000</f>
        <v>833.33333333333337</v>
      </c>
      <c r="L46" s="15">
        <v>20</v>
      </c>
      <c r="M46" s="15" t="s">
        <v>104</v>
      </c>
    </row>
    <row r="47" spans="1:13" ht="26.25" x14ac:dyDescent="0.4">
      <c r="A47" s="21"/>
      <c r="B47" s="15"/>
      <c r="C47" s="15"/>
      <c r="D47" s="15"/>
      <c r="E47" s="15"/>
      <c r="F47" s="15"/>
      <c r="G47" s="15"/>
      <c r="H47" s="16"/>
      <c r="I47" s="21"/>
      <c r="J47" s="21"/>
      <c r="K47" s="19"/>
      <c r="L47" s="15"/>
      <c r="M47" s="15"/>
    </row>
    <row r="48" spans="1:13" ht="26.25" x14ac:dyDescent="0.4">
      <c r="A48" s="38" t="s">
        <v>72</v>
      </c>
      <c r="B48" s="15" t="s">
        <v>62</v>
      </c>
      <c r="C48" s="15" t="s">
        <v>103</v>
      </c>
      <c r="D48" s="15">
        <v>2</v>
      </c>
      <c r="E48" s="15">
        <v>250</v>
      </c>
      <c r="F48" s="15">
        <f>E48*D48</f>
        <v>500</v>
      </c>
      <c r="G48" s="15">
        <v>0.4</v>
      </c>
      <c r="H48" s="16">
        <f t="shared" ref="H48" si="26">F48*G48</f>
        <v>200</v>
      </c>
      <c r="I48" s="16">
        <f t="shared" ref="I48" si="27">(H48/240)*1000</f>
        <v>833.33333333333337</v>
      </c>
      <c r="J48" s="21"/>
      <c r="K48" s="21"/>
      <c r="L48" s="15">
        <v>20</v>
      </c>
      <c r="M48" s="15" t="s">
        <v>104</v>
      </c>
    </row>
    <row r="49" spans="1:13" ht="26.25" x14ac:dyDescent="0.4">
      <c r="A49" s="21"/>
      <c r="B49" s="15"/>
      <c r="C49" s="15"/>
      <c r="D49" s="15"/>
      <c r="E49" s="15"/>
      <c r="F49" s="15"/>
      <c r="G49" s="15"/>
      <c r="H49" s="16"/>
      <c r="I49" s="16"/>
      <c r="J49" s="21"/>
      <c r="K49" s="21"/>
      <c r="L49" s="15"/>
      <c r="M49" s="15"/>
    </row>
    <row r="50" spans="1:13" ht="26.25" x14ac:dyDescent="0.4">
      <c r="A50" s="37" t="s">
        <v>73</v>
      </c>
      <c r="B50" s="15" t="s">
        <v>62</v>
      </c>
      <c r="C50" s="15" t="s">
        <v>103</v>
      </c>
      <c r="D50" s="15">
        <v>2</v>
      </c>
      <c r="E50" s="15">
        <v>250</v>
      </c>
      <c r="F50" s="15">
        <f>E50*D50</f>
        <v>500</v>
      </c>
      <c r="G50" s="15">
        <v>0.4</v>
      </c>
      <c r="H50" s="16">
        <f t="shared" ref="H50" si="28">F50*G50</f>
        <v>200</v>
      </c>
      <c r="I50" s="15"/>
      <c r="J50" s="19">
        <f>(H50/240)*1000</f>
        <v>833.33333333333337</v>
      </c>
      <c r="K50" s="19"/>
      <c r="L50" s="15">
        <v>20</v>
      </c>
      <c r="M50" s="15" t="s">
        <v>104</v>
      </c>
    </row>
    <row r="51" spans="1:13" ht="26.25" x14ac:dyDescent="0.4">
      <c r="A51" s="15"/>
      <c r="B51" s="15"/>
      <c r="C51" s="15"/>
      <c r="D51" s="15"/>
      <c r="E51" s="15"/>
      <c r="F51" s="15"/>
      <c r="G51" s="15"/>
      <c r="H51" s="16"/>
      <c r="I51" s="21"/>
      <c r="J51" s="21"/>
      <c r="K51" s="19"/>
      <c r="L51" s="15"/>
      <c r="M51" s="15"/>
    </row>
    <row r="52" spans="1:13" ht="26.25" x14ac:dyDescent="0.4">
      <c r="A52" s="36" t="s">
        <v>75</v>
      </c>
      <c r="B52" s="15" t="s">
        <v>62</v>
      </c>
      <c r="C52" s="15" t="s">
        <v>103</v>
      </c>
      <c r="D52" s="15">
        <v>2</v>
      </c>
      <c r="E52" s="15">
        <v>250</v>
      </c>
      <c r="F52" s="15">
        <f>E52*D52</f>
        <v>500</v>
      </c>
      <c r="G52" s="15">
        <v>0.4</v>
      </c>
      <c r="H52" s="16">
        <f t="shared" ref="H52" si="29">F52*G52</f>
        <v>200</v>
      </c>
      <c r="I52" s="15"/>
      <c r="J52" s="17"/>
      <c r="K52" s="19">
        <f>(H52/240)*1000</f>
        <v>833.33333333333337</v>
      </c>
      <c r="L52" s="15">
        <v>20</v>
      </c>
      <c r="M52" s="15" t="s">
        <v>104</v>
      </c>
    </row>
    <row r="53" spans="1:13" ht="26.25" x14ac:dyDescent="0.4">
      <c r="A53" s="21"/>
      <c r="B53" s="15"/>
      <c r="C53" s="15"/>
      <c r="D53" s="15"/>
      <c r="E53" s="15"/>
      <c r="F53" s="15"/>
      <c r="G53" s="15"/>
      <c r="H53" s="16"/>
      <c r="I53" s="21"/>
      <c r="J53" s="21"/>
      <c r="K53" s="19"/>
      <c r="L53" s="15"/>
      <c r="M53" s="15"/>
    </row>
    <row r="54" spans="1:13" ht="26.25" x14ac:dyDescent="0.4">
      <c r="A54" s="38" t="s">
        <v>77</v>
      </c>
      <c r="B54" s="15" t="s">
        <v>62</v>
      </c>
      <c r="C54" s="15" t="s">
        <v>103</v>
      </c>
      <c r="D54" s="15">
        <v>2</v>
      </c>
      <c r="E54" s="15">
        <v>250</v>
      </c>
      <c r="F54" s="15">
        <f>E54*D54</f>
        <v>500</v>
      </c>
      <c r="G54" s="15">
        <v>0.4</v>
      </c>
      <c r="H54" s="16">
        <f t="shared" ref="H54" si="30">F54*G54</f>
        <v>200</v>
      </c>
      <c r="I54" s="16">
        <f t="shared" ref="I54" si="31">(H54/240)*1000</f>
        <v>833.33333333333337</v>
      </c>
      <c r="J54" s="21"/>
      <c r="K54" s="21"/>
      <c r="L54" s="15">
        <v>20</v>
      </c>
      <c r="M54" s="15" t="s">
        <v>104</v>
      </c>
    </row>
    <row r="55" spans="1:13" ht="26.25" x14ac:dyDescent="0.4">
      <c r="A55" s="35"/>
      <c r="B55" s="15"/>
      <c r="C55" s="15"/>
      <c r="D55" s="15"/>
      <c r="E55" s="15"/>
      <c r="F55" s="15"/>
      <c r="G55" s="15"/>
      <c r="H55" s="16"/>
      <c r="I55" s="16"/>
      <c r="J55" s="21"/>
      <c r="K55" s="21"/>
      <c r="L55" s="15"/>
      <c r="M55" s="15"/>
    </row>
    <row r="56" spans="1:13" ht="26.25" x14ac:dyDescent="0.4">
      <c r="A56" s="37" t="s">
        <v>79</v>
      </c>
      <c r="B56" s="15" t="s">
        <v>62</v>
      </c>
      <c r="C56" s="15" t="s">
        <v>103</v>
      </c>
      <c r="D56" s="15">
        <v>2</v>
      </c>
      <c r="E56" s="15">
        <v>250</v>
      </c>
      <c r="F56" s="15">
        <f>E56*D56</f>
        <v>500</v>
      </c>
      <c r="G56" s="15">
        <v>0.4</v>
      </c>
      <c r="H56" s="16">
        <f t="shared" ref="H56" si="32">F56*G56</f>
        <v>200</v>
      </c>
      <c r="I56" s="15"/>
      <c r="J56" s="19">
        <f>(H56/240)*1000</f>
        <v>833.33333333333337</v>
      </c>
      <c r="K56" s="19"/>
      <c r="L56" s="15">
        <v>20</v>
      </c>
      <c r="M56" s="15" t="s">
        <v>104</v>
      </c>
    </row>
    <row r="57" spans="1:13" ht="26.25" x14ac:dyDescent="0.4">
      <c r="A57" s="35"/>
      <c r="B57" s="15"/>
      <c r="C57" s="15"/>
      <c r="D57" s="17"/>
      <c r="E57" s="15"/>
      <c r="F57" s="15"/>
      <c r="G57" s="15"/>
      <c r="H57" s="16"/>
      <c r="I57" s="21"/>
      <c r="J57" s="21"/>
      <c r="K57" s="19"/>
      <c r="L57" s="15"/>
      <c r="M57" s="15"/>
    </row>
    <row r="58" spans="1:13" ht="26.25" x14ac:dyDescent="0.4">
      <c r="A58" s="36" t="s">
        <v>81</v>
      </c>
      <c r="B58" s="15" t="s">
        <v>62</v>
      </c>
      <c r="C58" s="15" t="s">
        <v>103</v>
      </c>
      <c r="D58" s="15">
        <v>2</v>
      </c>
      <c r="E58" s="15">
        <v>250</v>
      </c>
      <c r="F58" s="15">
        <f>E58*D58</f>
        <v>500</v>
      </c>
      <c r="G58" s="15">
        <v>0.4</v>
      </c>
      <c r="H58" s="16">
        <f t="shared" ref="H58" si="33">F58*G58</f>
        <v>200</v>
      </c>
      <c r="I58" s="15"/>
      <c r="J58" s="17"/>
      <c r="K58" s="19">
        <f>(H58/240)*1000</f>
        <v>833.33333333333337</v>
      </c>
      <c r="L58" s="15">
        <v>20</v>
      </c>
      <c r="M58" s="15" t="s">
        <v>104</v>
      </c>
    </row>
    <row r="59" spans="1:13" ht="26.25" x14ac:dyDescent="0.4">
      <c r="A59" s="17"/>
      <c r="B59" s="15"/>
      <c r="C59" s="15"/>
      <c r="D59" s="15"/>
      <c r="E59" s="15"/>
      <c r="F59" s="15"/>
      <c r="G59" s="15"/>
      <c r="H59" s="16"/>
      <c r="I59" s="16"/>
      <c r="J59" s="21"/>
      <c r="K59" s="21"/>
      <c r="L59" s="15"/>
      <c r="M59" s="15"/>
    </row>
    <row r="60" spans="1:13" ht="26.25" x14ac:dyDescent="0.4">
      <c r="A60" s="38" t="s">
        <v>85</v>
      </c>
      <c r="B60" s="15" t="s">
        <v>62</v>
      </c>
      <c r="C60" s="15" t="s">
        <v>103</v>
      </c>
      <c r="D60" s="15">
        <v>2</v>
      </c>
      <c r="E60" s="15">
        <v>250</v>
      </c>
      <c r="F60" s="15">
        <f>E60*D60</f>
        <v>500</v>
      </c>
      <c r="G60" s="15">
        <v>0.4</v>
      </c>
      <c r="H60" s="16">
        <f t="shared" ref="H60" si="34">F60*G60</f>
        <v>200</v>
      </c>
      <c r="I60" s="16">
        <f t="shared" ref="I60" si="35">(H60/240)*1000</f>
        <v>833.33333333333337</v>
      </c>
      <c r="J60" s="21"/>
      <c r="K60" s="21"/>
      <c r="L60" s="15">
        <v>20</v>
      </c>
      <c r="M60" s="15" t="s">
        <v>104</v>
      </c>
    </row>
    <row r="61" spans="1:13" ht="26.25" x14ac:dyDescent="0.4">
      <c r="A61" s="17"/>
      <c r="B61" s="15"/>
      <c r="C61" s="15"/>
      <c r="D61" s="17"/>
      <c r="E61" s="15"/>
      <c r="F61" s="15"/>
      <c r="G61" s="15"/>
      <c r="H61" s="16"/>
      <c r="I61" s="21"/>
      <c r="J61" s="19"/>
      <c r="K61" s="21"/>
      <c r="L61" s="15"/>
      <c r="M61" s="15"/>
    </row>
    <row r="62" spans="1:13" ht="26.25" x14ac:dyDescent="0.4">
      <c r="A62" s="37" t="s">
        <v>87</v>
      </c>
      <c r="B62" s="15" t="s">
        <v>67</v>
      </c>
      <c r="C62" s="15" t="s">
        <v>103</v>
      </c>
      <c r="D62" s="15">
        <v>2</v>
      </c>
      <c r="E62" s="15">
        <v>250</v>
      </c>
      <c r="F62" s="15">
        <f>E62*D62</f>
        <v>500</v>
      </c>
      <c r="G62" s="15">
        <v>0.4</v>
      </c>
      <c r="H62" s="16">
        <f t="shared" ref="H62" si="36">F62*G62</f>
        <v>200</v>
      </c>
      <c r="I62" s="15"/>
      <c r="J62" s="19">
        <f>(H62/240)*1000</f>
        <v>833.33333333333337</v>
      </c>
      <c r="K62" s="19"/>
      <c r="L62" s="15">
        <v>20</v>
      </c>
      <c r="M62" s="15" t="s">
        <v>104</v>
      </c>
    </row>
    <row r="63" spans="1:13" ht="26.25" x14ac:dyDescent="0.4">
      <c r="A63" s="17"/>
      <c r="B63" s="15"/>
      <c r="C63" s="15"/>
      <c r="D63" s="17"/>
      <c r="E63" s="15"/>
      <c r="F63" s="15"/>
      <c r="G63" s="15"/>
      <c r="H63" s="16"/>
      <c r="I63" s="21"/>
      <c r="J63" s="21"/>
      <c r="K63" s="19"/>
      <c r="L63" s="15"/>
      <c r="M63" s="15"/>
    </row>
    <row r="64" spans="1:13" ht="26.25" x14ac:dyDescent="0.4">
      <c r="A64" s="36" t="s">
        <v>89</v>
      </c>
      <c r="B64" s="15" t="s">
        <v>67</v>
      </c>
      <c r="C64" s="15" t="s">
        <v>103</v>
      </c>
      <c r="D64" s="15">
        <v>2</v>
      </c>
      <c r="E64" s="15">
        <v>250</v>
      </c>
      <c r="F64" s="15">
        <f>E64*D64</f>
        <v>500</v>
      </c>
      <c r="G64" s="15">
        <v>0.4</v>
      </c>
      <c r="H64" s="16">
        <f t="shared" ref="H64" si="37">F64*G64</f>
        <v>200</v>
      </c>
      <c r="I64" s="15"/>
      <c r="J64" s="17"/>
      <c r="K64" s="19">
        <f>(H64/240)*1000</f>
        <v>833.33333333333337</v>
      </c>
      <c r="L64" s="15">
        <v>20</v>
      </c>
      <c r="M64" s="15" t="s">
        <v>104</v>
      </c>
    </row>
    <row r="65" spans="1:13" ht="26.25" x14ac:dyDescent="0.4">
      <c r="A65" s="21"/>
      <c r="B65" s="15"/>
      <c r="C65" s="15"/>
      <c r="D65" s="15"/>
      <c r="E65" s="15"/>
      <c r="F65" s="15"/>
      <c r="G65" s="15"/>
      <c r="H65" s="16"/>
      <c r="I65" s="16"/>
      <c r="J65" s="21"/>
      <c r="K65" s="21"/>
      <c r="L65" s="15"/>
      <c r="M65" s="15"/>
    </row>
    <row r="66" spans="1:13" ht="26.25" x14ac:dyDescent="0.4">
      <c r="A66" s="38" t="s">
        <v>92</v>
      </c>
      <c r="B66" s="15" t="s">
        <v>70</v>
      </c>
      <c r="C66" s="15" t="s">
        <v>103</v>
      </c>
      <c r="D66" s="15">
        <v>2</v>
      </c>
      <c r="E66" s="15">
        <v>250</v>
      </c>
      <c r="F66" s="15">
        <f>E66*D66</f>
        <v>500</v>
      </c>
      <c r="G66" s="15">
        <v>0.4</v>
      </c>
      <c r="H66" s="16">
        <f t="shared" ref="H66" si="38">F66*G66</f>
        <v>200</v>
      </c>
      <c r="I66" s="16">
        <f t="shared" ref="I66" si="39">(H66/240)*1000</f>
        <v>833.33333333333337</v>
      </c>
      <c r="J66" s="21"/>
      <c r="K66" s="21"/>
      <c r="L66" s="15">
        <v>20</v>
      </c>
      <c r="M66" s="15" t="s">
        <v>104</v>
      </c>
    </row>
    <row r="67" spans="1:13" ht="26.25" x14ac:dyDescent="0.4">
      <c r="A67" s="35"/>
      <c r="B67" s="21"/>
      <c r="C67" s="21"/>
      <c r="D67" s="17"/>
      <c r="E67" s="21"/>
      <c r="F67" s="15"/>
      <c r="G67" s="21"/>
      <c r="H67" s="21"/>
      <c r="I67" s="21"/>
      <c r="J67" s="19"/>
      <c r="K67" s="21"/>
      <c r="L67" s="15"/>
      <c r="M67" s="15"/>
    </row>
    <row r="68" spans="1:13" ht="26.25" x14ac:dyDescent="0.4">
      <c r="A68" s="37" t="s">
        <v>93</v>
      </c>
      <c r="B68" s="15" t="s">
        <v>70</v>
      </c>
      <c r="C68" s="15" t="s">
        <v>103</v>
      </c>
      <c r="D68" s="15">
        <v>2</v>
      </c>
      <c r="E68" s="15">
        <v>250</v>
      </c>
      <c r="F68" s="15">
        <f>E68*D68</f>
        <v>500</v>
      </c>
      <c r="G68" s="15">
        <v>0.4</v>
      </c>
      <c r="H68" s="16">
        <f t="shared" ref="H68" si="40">F68*G68</f>
        <v>200</v>
      </c>
      <c r="I68" s="15"/>
      <c r="J68" s="19">
        <f>(H68/240)*1000</f>
        <v>833.33333333333337</v>
      </c>
      <c r="K68" s="19"/>
      <c r="L68" s="15">
        <v>20</v>
      </c>
      <c r="M68" s="15" t="s">
        <v>104</v>
      </c>
    </row>
    <row r="69" spans="1:13" ht="26.25" x14ac:dyDescent="0.4">
      <c r="A69" s="21"/>
      <c r="B69" s="15"/>
      <c r="C69" s="15"/>
      <c r="D69" s="15"/>
      <c r="E69" s="15"/>
      <c r="F69" s="15"/>
      <c r="G69" s="15"/>
      <c r="H69" s="16"/>
      <c r="I69" s="21"/>
      <c r="J69" s="21"/>
      <c r="K69" s="19"/>
      <c r="L69" s="15"/>
      <c r="M69" s="15"/>
    </row>
    <row r="70" spans="1:13" ht="26.25" x14ac:dyDescent="0.4">
      <c r="A70" s="36" t="s">
        <v>95</v>
      </c>
      <c r="B70" s="15" t="s">
        <v>70</v>
      </c>
      <c r="C70" s="15" t="s">
        <v>103</v>
      </c>
      <c r="D70" s="15">
        <v>2</v>
      </c>
      <c r="E70" s="15">
        <v>250</v>
      </c>
      <c r="F70" s="15">
        <f>E70*D70</f>
        <v>500</v>
      </c>
      <c r="G70" s="15">
        <v>0.4</v>
      </c>
      <c r="H70" s="16">
        <f t="shared" ref="H70" si="41">F70*G70</f>
        <v>200</v>
      </c>
      <c r="I70" s="15"/>
      <c r="J70" s="17"/>
      <c r="K70" s="19">
        <f>(H70/240)*1000</f>
        <v>833.33333333333337</v>
      </c>
      <c r="L70" s="15">
        <v>20</v>
      </c>
      <c r="M70" s="15" t="s">
        <v>104</v>
      </c>
    </row>
    <row r="71" spans="1:13" ht="26.25" x14ac:dyDescent="0.4">
      <c r="A71" s="35"/>
      <c r="B71" s="15"/>
      <c r="C71" s="15"/>
      <c r="D71" s="15"/>
      <c r="E71" s="15"/>
      <c r="F71" s="15"/>
      <c r="G71" s="15"/>
      <c r="H71" s="16"/>
      <c r="I71" s="21"/>
      <c r="J71" s="21"/>
      <c r="K71" s="19"/>
      <c r="L71" s="15"/>
      <c r="M71" s="15"/>
    </row>
    <row r="72" spans="1:13" ht="26.25" x14ac:dyDescent="0.4">
      <c r="A72" s="38" t="s">
        <v>97</v>
      </c>
      <c r="B72" s="15" t="s">
        <v>70</v>
      </c>
      <c r="C72" s="15" t="s">
        <v>103</v>
      </c>
      <c r="D72" s="15">
        <v>2</v>
      </c>
      <c r="E72" s="15">
        <v>250</v>
      </c>
      <c r="F72" s="15">
        <f>E72*D72</f>
        <v>500</v>
      </c>
      <c r="G72" s="15">
        <v>0.4</v>
      </c>
      <c r="H72" s="16">
        <f t="shared" ref="H72" si="42">F72*G72</f>
        <v>200</v>
      </c>
      <c r="I72" s="16">
        <f t="shared" ref="I72" si="43">(H72/240)*1000</f>
        <v>833.33333333333337</v>
      </c>
      <c r="J72" s="21"/>
      <c r="K72" s="21"/>
      <c r="L72" s="15">
        <v>20</v>
      </c>
      <c r="M72" s="15" t="s">
        <v>104</v>
      </c>
    </row>
    <row r="73" spans="1:13" ht="26.25" x14ac:dyDescent="0.4">
      <c r="A73" s="35"/>
      <c r="B73" s="21"/>
      <c r="C73" s="21"/>
      <c r="D73" s="21"/>
      <c r="E73" s="21"/>
      <c r="F73" s="21"/>
      <c r="G73" s="21"/>
      <c r="H73" s="21"/>
      <c r="I73" s="21"/>
      <c r="J73" s="19"/>
      <c r="K73" s="21"/>
      <c r="L73" s="15"/>
      <c r="M73" s="15"/>
    </row>
    <row r="74" spans="1:13" ht="26.25" x14ac:dyDescent="0.4">
      <c r="A74" s="37" t="s">
        <v>101</v>
      </c>
      <c r="B74" s="15" t="s">
        <v>70</v>
      </c>
      <c r="C74" s="15" t="s">
        <v>103</v>
      </c>
      <c r="D74" s="15">
        <v>2</v>
      </c>
      <c r="E74" s="15">
        <v>250</v>
      </c>
      <c r="F74" s="15">
        <f>E74*D74</f>
        <v>500</v>
      </c>
      <c r="G74" s="15">
        <v>0.4</v>
      </c>
      <c r="H74" s="16">
        <f t="shared" ref="H74" si="44">F74*G74</f>
        <v>200</v>
      </c>
      <c r="I74" s="15"/>
      <c r="J74" s="19">
        <f>(H74/240)*1000</f>
        <v>833.33333333333337</v>
      </c>
      <c r="K74" s="19"/>
      <c r="L74" s="15">
        <v>20</v>
      </c>
      <c r="M74" s="15" t="s">
        <v>104</v>
      </c>
    </row>
    <row r="75" spans="1:13" ht="26.25" x14ac:dyDescent="0.4">
      <c r="A75" s="21"/>
      <c r="B75" s="15"/>
      <c r="C75" s="15"/>
      <c r="D75" s="15"/>
      <c r="E75" s="15"/>
      <c r="F75" s="15"/>
      <c r="G75" s="15"/>
      <c r="H75" s="16"/>
      <c r="I75" s="21"/>
      <c r="J75" s="21"/>
      <c r="K75" s="19"/>
      <c r="L75" s="15"/>
      <c r="M75" s="15"/>
    </row>
    <row r="76" spans="1:13" ht="26.25" x14ac:dyDescent="0.4">
      <c r="A76" s="36" t="s">
        <v>99</v>
      </c>
      <c r="B76" s="15" t="s">
        <v>70</v>
      </c>
      <c r="C76" s="15" t="s">
        <v>103</v>
      </c>
      <c r="D76" s="15">
        <v>2</v>
      </c>
      <c r="E76" s="15">
        <v>250</v>
      </c>
      <c r="F76" s="15">
        <f>E76*D76</f>
        <v>500</v>
      </c>
      <c r="G76" s="15">
        <v>0.4</v>
      </c>
      <c r="H76" s="16">
        <f t="shared" ref="H76" si="45">F76*G76</f>
        <v>200</v>
      </c>
      <c r="I76" s="15"/>
      <c r="J76" s="17"/>
      <c r="K76" s="19">
        <f>(H76/240)*1000</f>
        <v>833.33333333333337</v>
      </c>
      <c r="L76" s="15">
        <v>20</v>
      </c>
      <c r="M76" s="15" t="s">
        <v>104</v>
      </c>
    </row>
    <row r="77" spans="1:13" ht="26.25" x14ac:dyDescent="0.4">
      <c r="A77" s="21"/>
      <c r="B77" s="15"/>
      <c r="C77" s="15"/>
      <c r="D77" s="15"/>
      <c r="E77" s="15"/>
      <c r="F77" s="15"/>
      <c r="G77" s="15"/>
      <c r="H77" s="16"/>
      <c r="I77" s="21"/>
      <c r="J77" s="19"/>
      <c r="K77" s="21"/>
      <c r="L77" s="15"/>
      <c r="M77" s="15"/>
    </row>
    <row r="78" spans="1:13" ht="26.25" x14ac:dyDescent="0.4">
      <c r="A78" s="38" t="s">
        <v>105</v>
      </c>
      <c r="B78" s="15" t="s">
        <v>70</v>
      </c>
      <c r="C78" s="15" t="s">
        <v>103</v>
      </c>
      <c r="D78" s="15">
        <v>2</v>
      </c>
      <c r="E78" s="15">
        <v>250</v>
      </c>
      <c r="F78" s="15">
        <f t="shared" ref="F78" si="46">E78*D78</f>
        <v>500</v>
      </c>
      <c r="G78" s="15">
        <v>0.4</v>
      </c>
      <c r="H78" s="16">
        <f t="shared" ref="H78:H80" si="47">F78*G78</f>
        <v>200</v>
      </c>
      <c r="I78" s="16">
        <f t="shared" ref="I78" si="48">(H78/240)*1000</f>
        <v>833.33333333333337</v>
      </c>
      <c r="J78" s="21"/>
      <c r="K78" s="21"/>
      <c r="L78" s="15">
        <v>20</v>
      </c>
      <c r="M78" s="15" t="s">
        <v>104</v>
      </c>
    </row>
    <row r="79" spans="1:13" ht="26.25" x14ac:dyDescent="0.4">
      <c r="A79" s="35"/>
      <c r="B79" s="15"/>
      <c r="C79" s="15"/>
      <c r="D79" s="15"/>
      <c r="E79" s="15"/>
      <c r="F79" s="15"/>
      <c r="G79" s="15"/>
      <c r="H79" s="16"/>
      <c r="I79" s="21"/>
      <c r="J79" s="19"/>
      <c r="K79" s="21"/>
      <c r="L79" s="15"/>
      <c r="M79" s="15"/>
    </row>
    <row r="80" spans="1:13" ht="26.25" x14ac:dyDescent="0.4">
      <c r="A80" s="37" t="s">
        <v>106</v>
      </c>
      <c r="B80" s="15" t="s">
        <v>70</v>
      </c>
      <c r="C80" s="15" t="s">
        <v>103</v>
      </c>
      <c r="D80" s="15">
        <v>2</v>
      </c>
      <c r="E80" s="15">
        <v>250</v>
      </c>
      <c r="F80" s="15">
        <f>E80*D80</f>
        <v>500</v>
      </c>
      <c r="G80" s="15">
        <v>0.4</v>
      </c>
      <c r="H80" s="16">
        <f t="shared" si="47"/>
        <v>200</v>
      </c>
      <c r="I80" s="15"/>
      <c r="J80" s="19">
        <f>(H80/240)*1000</f>
        <v>833.33333333333337</v>
      </c>
      <c r="K80" s="19"/>
      <c r="L80" s="15">
        <v>20</v>
      </c>
      <c r="M80" s="15" t="s">
        <v>104</v>
      </c>
    </row>
    <row r="81" spans="1:13" ht="26.25" x14ac:dyDescent="0.4">
      <c r="A81" s="21"/>
      <c r="B81" s="15"/>
      <c r="C81" s="15"/>
      <c r="D81" s="15"/>
      <c r="E81" s="15"/>
      <c r="F81" s="15"/>
      <c r="G81" s="15"/>
      <c r="H81" s="16"/>
      <c r="I81" s="21"/>
      <c r="J81" s="21"/>
      <c r="K81" s="19"/>
      <c r="L81" s="15"/>
      <c r="M81" s="15"/>
    </row>
    <row r="82" spans="1:13" ht="26.25" x14ac:dyDescent="0.4">
      <c r="A82" s="36" t="s">
        <v>107</v>
      </c>
      <c r="B82" s="15" t="s">
        <v>70</v>
      </c>
      <c r="C82" s="15" t="s">
        <v>103</v>
      </c>
      <c r="D82" s="15">
        <v>2</v>
      </c>
      <c r="E82" s="15">
        <v>250</v>
      </c>
      <c r="F82" s="15">
        <f>E82*D82</f>
        <v>500</v>
      </c>
      <c r="G82" s="15">
        <v>0.4</v>
      </c>
      <c r="H82" s="16">
        <f t="shared" ref="H82" si="49">F82*G82</f>
        <v>200</v>
      </c>
      <c r="I82" s="15"/>
      <c r="J82" s="17"/>
      <c r="K82" s="19">
        <f>(H82/240)*1000</f>
        <v>833.33333333333337</v>
      </c>
      <c r="L82" s="15">
        <v>20</v>
      </c>
      <c r="M82" s="15" t="s">
        <v>104</v>
      </c>
    </row>
    <row r="83" spans="1:13" ht="26.25" x14ac:dyDescent="0.4">
      <c r="A83" s="21"/>
      <c r="B83" s="15"/>
      <c r="C83" s="15"/>
      <c r="D83" s="15"/>
      <c r="E83" s="15"/>
      <c r="F83" s="15"/>
      <c r="G83" s="15"/>
      <c r="H83" s="16"/>
      <c r="I83" s="21"/>
      <c r="J83" s="21"/>
      <c r="K83" s="19"/>
      <c r="L83" s="15"/>
      <c r="M83" s="15"/>
    </row>
    <row r="84" spans="1:13" ht="26.25" x14ac:dyDescent="0.4">
      <c r="A84" s="168" t="s">
        <v>108</v>
      </c>
      <c r="B84" s="168"/>
      <c r="C84" s="168"/>
      <c r="D84" s="15">
        <f>D82+D80+D78+D76+D74+D72+D70+D68+D66+D64+D62+D60+D58+D56+D54+D52+D50+D48+D46+D44+D42+D40+D38+D36+D34+D32+D30+D29+D27+D25+D23+D22+D20+D18+D17+D15+D14+D12+D10+D9+D7+D6</f>
        <v>70</v>
      </c>
      <c r="E84" s="15">
        <f>E82+E80+E78+E76+E74+E72+E70+E68+E66+E64+E62+E60+E58+E56+E54+E52+E50+E48+E46+E44+E42+E40+E38+E36+E34+E32+E30+E29+E27+E25+E23+E22+E20+E18+E17+E15+E14+E12+E10+E9+E7+E6</f>
        <v>10500</v>
      </c>
      <c r="F84" s="15">
        <f>F82+F80+F78+F76+F74+F72+F70+F68+F66+F64+F62+F60+F58+F56+F54+F52+F50+F48+F46+F44+F42+F40+F38+F36+F34+F32+F30+F29+F27+F25+F23+F22+F20+F18+F17+F15+F14+F12+F10+F9+F7+F6</f>
        <v>17500</v>
      </c>
      <c r="G84" s="21"/>
      <c r="H84" s="16">
        <f>H82+H80+H78+H76+H74+H72+H70+H68+H66+H64+H62+H60+H58+H56+H54+H52+H50+H48+H46+H44+H42+H40+H38+H36+H34+H32+H30+H29+H27+H25+H23+H22+H20+H18+H17+H15+H14+H12+H10+H9+H7+H6</f>
        <v>7000</v>
      </c>
      <c r="I84" s="48">
        <f>I78+I72+I66+I60+I54+I48+I42+I36+I30+I29+I23+I22+I15+I14+I7+I6</f>
        <v>9999.9999999999982</v>
      </c>
      <c r="J84" s="47">
        <f>J80+J74+J68+J56+J50+J44+J38+J32+J25+J18+J17+J10+J9+J62</f>
        <v>9999.9999999999982</v>
      </c>
      <c r="K84" s="46">
        <f>K82+K76+K70+K64+K58+K52+K46+K40+K34+K27+K20+K12</f>
        <v>9166.6666666666661</v>
      </c>
      <c r="L84" s="21"/>
      <c r="M84" s="21"/>
    </row>
    <row r="85" spans="1:13" ht="18.75" x14ac:dyDescent="0.3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</row>
    <row r="86" spans="1:13" ht="18.75" x14ac:dyDescent="0.3">
      <c r="A86" s="39"/>
      <c r="B86" s="39"/>
      <c r="C86" s="39"/>
      <c r="D86" s="39"/>
      <c r="E86" s="39"/>
      <c r="F86" s="39"/>
      <c r="G86" s="39"/>
      <c r="H86" s="39"/>
      <c r="I86" s="40"/>
      <c r="J86" s="40"/>
      <c r="K86" s="41"/>
      <c r="L86" s="39"/>
      <c r="M86" s="39"/>
    </row>
    <row r="87" spans="1:13" x14ac:dyDescent="0.25">
      <c r="B87" s="9"/>
      <c r="C87" s="9"/>
      <c r="D87" s="9"/>
      <c r="E87" s="9"/>
      <c r="F87" s="9"/>
      <c r="G87" s="9"/>
      <c r="H87" s="10"/>
      <c r="I87" s="10"/>
      <c r="L87" s="9"/>
      <c r="M87" s="9"/>
    </row>
    <row r="88" spans="1:13" x14ac:dyDescent="0.25">
      <c r="B88" s="9"/>
      <c r="C88" s="9"/>
      <c r="D88" s="9"/>
      <c r="E88" s="9"/>
      <c r="F88" s="9"/>
      <c r="G88" s="9"/>
      <c r="H88" s="10"/>
      <c r="I88" s="10"/>
      <c r="L88" s="9"/>
      <c r="M88" s="9"/>
    </row>
    <row r="89" spans="1:13" x14ac:dyDescent="0.25">
      <c r="B89" s="9"/>
      <c r="C89" s="9"/>
      <c r="D89" s="9"/>
      <c r="E89" s="9"/>
      <c r="F89" s="9"/>
      <c r="G89" s="9"/>
      <c r="H89" s="10"/>
      <c r="I89" s="10"/>
      <c r="L89" s="9"/>
      <c r="M89" s="9"/>
    </row>
    <row r="90" spans="1:13" x14ac:dyDescent="0.25">
      <c r="B90" s="9"/>
      <c r="C90" s="9"/>
      <c r="D90" s="9"/>
      <c r="E90" s="9"/>
      <c r="F90" s="9"/>
      <c r="G90" s="9"/>
      <c r="H90" s="10"/>
      <c r="I90" s="10"/>
      <c r="L90" s="9"/>
      <c r="M90" s="9"/>
    </row>
    <row r="92" spans="1:13" x14ac:dyDescent="0.25">
      <c r="B92" s="9"/>
      <c r="C92" s="42"/>
      <c r="D92" s="9"/>
      <c r="E92" s="9"/>
      <c r="F92" s="9"/>
      <c r="G92" s="9"/>
      <c r="H92" s="10"/>
      <c r="J92" s="43"/>
      <c r="L92" s="9"/>
      <c r="M92" s="9"/>
    </row>
    <row r="93" spans="1:13" x14ac:dyDescent="0.25">
      <c r="A93" s="9"/>
      <c r="B93" s="9"/>
      <c r="C93" s="9"/>
      <c r="D93" s="9"/>
      <c r="E93" s="9"/>
      <c r="F93" s="9"/>
      <c r="G93" s="9"/>
      <c r="H93" s="10"/>
      <c r="J93" s="43"/>
      <c r="L93" s="9"/>
      <c r="M93" s="9"/>
    </row>
    <row r="94" spans="1:13" x14ac:dyDescent="0.25">
      <c r="L94" s="9"/>
      <c r="M94" s="9"/>
    </row>
    <row r="95" spans="1:13" x14ac:dyDescent="0.25">
      <c r="B95" s="9"/>
      <c r="C95" s="42"/>
      <c r="D95" s="9"/>
      <c r="E95" s="9"/>
      <c r="F95" s="9"/>
      <c r="G95" s="9"/>
      <c r="H95" s="10"/>
      <c r="K95" s="43"/>
      <c r="L95" s="9"/>
      <c r="M95" s="9"/>
    </row>
    <row r="96" spans="1:13" x14ac:dyDescent="0.25">
      <c r="L96" s="9"/>
      <c r="M96" s="9"/>
    </row>
    <row r="97" spans="1:13" x14ac:dyDescent="0.25">
      <c r="B97" s="9"/>
      <c r="C97" s="42"/>
      <c r="D97" s="42"/>
      <c r="E97" s="9"/>
      <c r="F97" s="9"/>
      <c r="G97" s="9"/>
      <c r="H97" s="10"/>
      <c r="I97" s="10"/>
      <c r="L97" s="9"/>
      <c r="M97" s="9"/>
    </row>
    <row r="98" spans="1:13" x14ac:dyDescent="0.25">
      <c r="A98" s="9"/>
      <c r="B98" s="9"/>
      <c r="C98" s="9"/>
      <c r="D98" s="9"/>
      <c r="E98" s="9"/>
      <c r="F98" s="9"/>
      <c r="G98" s="9"/>
      <c r="H98" s="10"/>
      <c r="I98" s="10"/>
      <c r="L98" s="9"/>
      <c r="M98" s="9"/>
    </row>
    <row r="99" spans="1:13" x14ac:dyDescent="0.25">
      <c r="L99" s="9"/>
      <c r="M99" s="9"/>
    </row>
    <row r="100" spans="1:13" x14ac:dyDescent="0.25">
      <c r="B100" s="9"/>
      <c r="C100" s="42"/>
      <c r="D100" s="42"/>
      <c r="E100" s="9"/>
      <c r="F100" s="9"/>
      <c r="G100" s="9"/>
      <c r="H100" s="10"/>
      <c r="J100" s="43"/>
      <c r="L100" s="9"/>
      <c r="M100" s="9"/>
    </row>
    <row r="101" spans="1:13" x14ac:dyDescent="0.25">
      <c r="A101" s="9"/>
      <c r="B101" s="9"/>
      <c r="C101" s="9"/>
      <c r="D101" s="9"/>
      <c r="E101" s="9"/>
      <c r="F101" s="9"/>
      <c r="G101" s="9"/>
      <c r="H101" s="10"/>
      <c r="J101" s="43"/>
      <c r="L101" s="9"/>
      <c r="M101" s="9"/>
    </row>
    <row r="102" spans="1:13" x14ac:dyDescent="0.25">
      <c r="F102" s="9"/>
      <c r="L102" s="9"/>
      <c r="M102" s="9"/>
    </row>
    <row r="103" spans="1:13" x14ac:dyDescent="0.25">
      <c r="B103" s="9"/>
      <c r="C103" s="9"/>
      <c r="D103" s="42"/>
      <c r="E103" s="9"/>
      <c r="F103" s="9"/>
      <c r="G103" s="9"/>
      <c r="H103" s="10"/>
      <c r="K103" s="43"/>
      <c r="L103" s="9"/>
      <c r="M103" s="9"/>
    </row>
    <row r="104" spans="1:13" x14ac:dyDescent="0.25">
      <c r="A104" s="9"/>
      <c r="B104" s="9"/>
      <c r="C104" s="9"/>
      <c r="D104" s="9"/>
      <c r="E104" s="9"/>
      <c r="F104" s="9"/>
      <c r="G104" s="9"/>
      <c r="H104" s="10"/>
      <c r="K104" s="43"/>
      <c r="L104" s="9"/>
      <c r="M104" s="9"/>
    </row>
    <row r="105" spans="1:13" x14ac:dyDescent="0.25">
      <c r="L105" s="9"/>
      <c r="M105" s="9"/>
    </row>
    <row r="106" spans="1:13" x14ac:dyDescent="0.25">
      <c r="B106" s="9"/>
      <c r="C106" s="9"/>
      <c r="D106" s="42"/>
      <c r="E106" s="9"/>
      <c r="F106" s="9"/>
      <c r="G106" s="9"/>
      <c r="H106" s="10"/>
      <c r="I106" s="10"/>
      <c r="L106" s="9"/>
      <c r="M106" s="9"/>
    </row>
    <row r="107" spans="1:13" x14ac:dyDescent="0.25">
      <c r="A107" s="9"/>
      <c r="B107" s="9"/>
      <c r="C107" s="9"/>
      <c r="D107" s="9"/>
      <c r="E107" s="9"/>
      <c r="F107" s="9"/>
      <c r="G107" s="9"/>
      <c r="H107" s="10"/>
      <c r="I107" s="10"/>
      <c r="L107" s="9"/>
      <c r="M107" s="9"/>
    </row>
    <row r="108" spans="1:13" x14ac:dyDescent="0.25">
      <c r="L108" s="9"/>
      <c r="M108" s="9"/>
    </row>
    <row r="109" spans="1:13" x14ac:dyDescent="0.25">
      <c r="L109" s="9"/>
      <c r="M109" s="9"/>
    </row>
    <row r="110" spans="1:13" x14ac:dyDescent="0.25">
      <c r="A110" s="163"/>
      <c r="B110" s="163"/>
      <c r="C110" s="163"/>
      <c r="E110" s="9"/>
      <c r="F110" s="9"/>
      <c r="G110" s="44"/>
      <c r="H110" s="10"/>
      <c r="I110" s="45"/>
      <c r="J110" s="45"/>
      <c r="K110" s="45"/>
      <c r="L110" s="9"/>
      <c r="M110" s="9"/>
    </row>
  </sheetData>
  <mergeCells count="13">
    <mergeCell ref="A110:C110"/>
    <mergeCell ref="A9:A10"/>
    <mergeCell ref="A14:A15"/>
    <mergeCell ref="A17:A18"/>
    <mergeCell ref="A22:A23"/>
    <mergeCell ref="A29:A30"/>
    <mergeCell ref="A84:C84"/>
    <mergeCell ref="A6:A7"/>
    <mergeCell ref="A1:M1"/>
    <mergeCell ref="A2:M2"/>
    <mergeCell ref="A4:A5"/>
    <mergeCell ref="B4:C4"/>
    <mergeCell ref="D4:D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8"/>
  <sheetViews>
    <sheetView topLeftCell="A13" zoomScale="55" zoomScaleNormal="55" zoomScalePageLayoutView="75" workbookViewId="0">
      <selection activeCell="D19" sqref="D19"/>
    </sheetView>
  </sheetViews>
  <sheetFormatPr defaultColWidth="8.875" defaultRowHeight="15.75" x14ac:dyDescent="0.25"/>
  <cols>
    <col min="1" max="1" width="39.875" style="55" customWidth="1"/>
    <col min="2" max="2" width="43.375" style="55" customWidth="1"/>
    <col min="3" max="3" width="32.625" style="55" customWidth="1"/>
    <col min="4" max="4" width="15" style="55" customWidth="1"/>
    <col min="5" max="5" width="28.875" style="55" customWidth="1"/>
    <col min="6" max="6" width="33.625" style="55" customWidth="1"/>
    <col min="7" max="7" width="24.5" style="55" customWidth="1"/>
    <col min="8" max="8" width="26.375" style="55" customWidth="1"/>
    <col min="9" max="9" width="25.625" style="55" customWidth="1"/>
    <col min="10" max="10" width="26.125" style="55" customWidth="1"/>
    <col min="11" max="11" width="23.375" style="55" customWidth="1"/>
    <col min="12" max="12" width="27" style="55" customWidth="1"/>
    <col min="13" max="13" width="59.125" style="55" customWidth="1"/>
    <col min="14" max="16384" width="8.875" style="55"/>
  </cols>
  <sheetData>
    <row r="1" spans="1:13" ht="25.5" x14ac:dyDescent="0.25">
      <c r="A1" s="173"/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</row>
    <row r="2" spans="1:13" ht="25.5" x14ac:dyDescent="0.25">
      <c r="A2" s="173" t="s">
        <v>187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</row>
    <row r="3" spans="1:13" ht="25.5" x14ac:dyDescent="0.35">
      <c r="A3" s="176" t="s">
        <v>188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</row>
    <row r="4" spans="1:13" ht="25.5" x14ac:dyDescent="0.35">
      <c r="A4" s="174" t="s">
        <v>2</v>
      </c>
      <c r="B4" s="175" t="s">
        <v>3</v>
      </c>
      <c r="C4" s="175"/>
      <c r="D4" s="175" t="s">
        <v>4</v>
      </c>
      <c r="E4" s="58" t="s">
        <v>5</v>
      </c>
      <c r="F4" s="56" t="s">
        <v>6</v>
      </c>
      <c r="G4" s="58" t="s">
        <v>7</v>
      </c>
      <c r="H4" s="58" t="s">
        <v>8</v>
      </c>
      <c r="I4" s="59" t="s">
        <v>9</v>
      </c>
      <c r="J4" s="60" t="s">
        <v>9</v>
      </c>
      <c r="K4" s="61" t="s">
        <v>9</v>
      </c>
      <c r="L4" s="58" t="s">
        <v>10</v>
      </c>
      <c r="M4" s="57" t="s">
        <v>11</v>
      </c>
    </row>
    <row r="5" spans="1:13" ht="25.5" x14ac:dyDescent="0.35">
      <c r="A5" s="174"/>
      <c r="B5" s="56" t="s">
        <v>12</v>
      </c>
      <c r="C5" s="56" t="s">
        <v>102</v>
      </c>
      <c r="D5" s="175"/>
      <c r="E5" s="58" t="s">
        <v>14</v>
      </c>
      <c r="F5" s="56" t="s">
        <v>15</v>
      </c>
      <c r="G5" s="56" t="s">
        <v>16</v>
      </c>
      <c r="H5" s="56" t="s">
        <v>17</v>
      </c>
      <c r="I5" s="62" t="s">
        <v>18</v>
      </c>
      <c r="J5" s="63" t="s">
        <v>19</v>
      </c>
      <c r="K5" s="64" t="s">
        <v>20</v>
      </c>
      <c r="L5" s="56" t="s">
        <v>21</v>
      </c>
      <c r="M5" s="57" t="s">
        <v>22</v>
      </c>
    </row>
    <row r="6" spans="1:13" ht="26.25" x14ac:dyDescent="0.4">
      <c r="A6" s="171" t="s">
        <v>23</v>
      </c>
      <c r="B6" s="16" t="s">
        <v>109</v>
      </c>
      <c r="C6" s="69" t="s">
        <v>112</v>
      </c>
      <c r="D6" s="69">
        <v>5</v>
      </c>
      <c r="E6" s="69">
        <v>250</v>
      </c>
      <c r="F6" s="16">
        <f>E6*D6</f>
        <v>1250</v>
      </c>
      <c r="G6" s="70">
        <v>0.4</v>
      </c>
      <c r="H6" s="16">
        <f>F6*G6</f>
        <v>500</v>
      </c>
      <c r="I6" s="49">
        <f>(H6/(230*0.85))*1000</f>
        <v>2557.5447570332481</v>
      </c>
      <c r="J6" s="52"/>
      <c r="K6" s="54"/>
      <c r="L6" s="172">
        <v>32</v>
      </c>
      <c r="M6" s="169" t="s">
        <v>104</v>
      </c>
    </row>
    <row r="7" spans="1:13" ht="26.25" x14ac:dyDescent="0.4">
      <c r="A7" s="171"/>
      <c r="B7" s="16" t="s">
        <v>110</v>
      </c>
      <c r="C7" s="69" t="s">
        <v>112</v>
      </c>
      <c r="D7" s="69">
        <v>4</v>
      </c>
      <c r="E7" s="69">
        <v>250</v>
      </c>
      <c r="F7" s="16">
        <f t="shared" ref="F7:F35" si="0">E7*D7</f>
        <v>1000</v>
      </c>
      <c r="G7" s="70">
        <v>0.4</v>
      </c>
      <c r="H7" s="16">
        <f t="shared" ref="H7:H40" si="1">F7*G7</f>
        <v>400</v>
      </c>
      <c r="I7" s="49">
        <f t="shared" ref="I7:I37" si="2">(H7/(230*0.85))*1000</f>
        <v>2046.0358056265986</v>
      </c>
      <c r="J7" s="52"/>
      <c r="K7" s="54"/>
      <c r="L7" s="172"/>
      <c r="M7" s="169"/>
    </row>
    <row r="8" spans="1:13" ht="26.25" x14ac:dyDescent="0.4">
      <c r="A8" s="16"/>
      <c r="B8" s="16"/>
      <c r="C8" s="69"/>
      <c r="D8" s="69"/>
      <c r="E8" s="69"/>
      <c r="F8" s="16"/>
      <c r="G8" s="70"/>
      <c r="H8" s="16"/>
      <c r="I8" s="49"/>
      <c r="J8" s="52"/>
      <c r="K8" s="54"/>
      <c r="L8" s="69"/>
      <c r="M8" s="16"/>
    </row>
    <row r="9" spans="1:13" ht="26.25" x14ac:dyDescent="0.4">
      <c r="A9" s="170" t="s">
        <v>29</v>
      </c>
      <c r="B9" s="16" t="s">
        <v>111</v>
      </c>
      <c r="C9" s="69" t="s">
        <v>113</v>
      </c>
      <c r="D9" s="69">
        <v>5</v>
      </c>
      <c r="E9" s="69">
        <v>250</v>
      </c>
      <c r="F9" s="16">
        <f t="shared" si="0"/>
        <v>1250</v>
      </c>
      <c r="G9" s="70">
        <v>0.4</v>
      </c>
      <c r="H9" s="16">
        <f t="shared" si="1"/>
        <v>500</v>
      </c>
      <c r="I9" s="49"/>
      <c r="J9" s="52">
        <f t="shared" ref="J9:J31" si="3">(H9/(230*0.85))*1000</f>
        <v>2557.5447570332481</v>
      </c>
      <c r="K9" s="54"/>
      <c r="L9" s="172">
        <v>32</v>
      </c>
      <c r="M9" s="169" t="s">
        <v>104</v>
      </c>
    </row>
    <row r="10" spans="1:13" ht="26.25" x14ac:dyDescent="0.4">
      <c r="A10" s="170"/>
      <c r="B10" s="16" t="s">
        <v>115</v>
      </c>
      <c r="C10" s="69" t="s">
        <v>113</v>
      </c>
      <c r="D10" s="69">
        <v>5</v>
      </c>
      <c r="E10" s="69">
        <v>250</v>
      </c>
      <c r="F10" s="16">
        <f t="shared" si="0"/>
        <v>1250</v>
      </c>
      <c r="G10" s="70">
        <v>0.4</v>
      </c>
      <c r="H10" s="16">
        <f t="shared" si="1"/>
        <v>500</v>
      </c>
      <c r="I10" s="49"/>
      <c r="J10" s="52">
        <f t="shared" si="3"/>
        <v>2557.5447570332481</v>
      </c>
      <c r="K10" s="54"/>
      <c r="L10" s="172"/>
      <c r="M10" s="169"/>
    </row>
    <row r="11" spans="1:13" ht="26.25" x14ac:dyDescent="0.4">
      <c r="A11" s="19"/>
      <c r="B11" s="19"/>
      <c r="C11" s="82"/>
      <c r="D11" s="82"/>
      <c r="E11" s="69"/>
      <c r="F11" s="16"/>
      <c r="G11" s="70"/>
      <c r="H11" s="16"/>
      <c r="I11" s="49"/>
      <c r="J11" s="52"/>
      <c r="K11" s="54"/>
      <c r="L11" s="69"/>
      <c r="M11" s="16"/>
    </row>
    <row r="12" spans="1:13" ht="26.25" x14ac:dyDescent="0.4">
      <c r="A12" s="179" t="s">
        <v>31</v>
      </c>
      <c r="B12" s="16" t="s">
        <v>114</v>
      </c>
      <c r="C12" s="69" t="s">
        <v>113</v>
      </c>
      <c r="D12" s="69">
        <v>5</v>
      </c>
      <c r="E12" s="69">
        <v>250</v>
      </c>
      <c r="F12" s="16">
        <f t="shared" si="0"/>
        <v>1250</v>
      </c>
      <c r="G12" s="70">
        <v>0.4</v>
      </c>
      <c r="H12" s="16">
        <f t="shared" si="1"/>
        <v>500</v>
      </c>
      <c r="I12" s="49"/>
      <c r="J12" s="52"/>
      <c r="K12" s="54">
        <f t="shared" ref="K12:K40" si="4">(H12/(230*0.85))*1000</f>
        <v>2557.5447570332481</v>
      </c>
      <c r="L12" s="172">
        <v>32</v>
      </c>
      <c r="M12" s="169" t="s">
        <v>104</v>
      </c>
    </row>
    <row r="13" spans="1:13" ht="26.25" x14ac:dyDescent="0.4">
      <c r="A13" s="179"/>
      <c r="B13" s="16" t="s">
        <v>124</v>
      </c>
      <c r="C13" s="69" t="s">
        <v>113</v>
      </c>
      <c r="D13" s="69">
        <v>3</v>
      </c>
      <c r="E13" s="69">
        <v>250</v>
      </c>
      <c r="F13" s="16">
        <f t="shared" si="0"/>
        <v>750</v>
      </c>
      <c r="G13" s="70">
        <v>0.4</v>
      </c>
      <c r="H13" s="16">
        <f t="shared" si="1"/>
        <v>300</v>
      </c>
      <c r="I13" s="49"/>
      <c r="J13" s="52"/>
      <c r="K13" s="54">
        <f t="shared" si="4"/>
        <v>1534.5268542199487</v>
      </c>
      <c r="L13" s="172"/>
      <c r="M13" s="169"/>
    </row>
    <row r="14" spans="1:13" ht="26.25" x14ac:dyDescent="0.4">
      <c r="A14" s="16"/>
      <c r="B14" s="16"/>
      <c r="C14" s="69"/>
      <c r="D14" s="69"/>
      <c r="E14" s="69"/>
      <c r="F14" s="16"/>
      <c r="G14" s="70"/>
      <c r="H14" s="16"/>
      <c r="I14" s="49"/>
      <c r="J14" s="52"/>
      <c r="K14" s="54"/>
      <c r="L14" s="69"/>
      <c r="M14" s="16"/>
    </row>
    <row r="15" spans="1:13" ht="26.25" x14ac:dyDescent="0.4">
      <c r="A15" s="171" t="s">
        <v>34</v>
      </c>
      <c r="B15" s="16" t="s">
        <v>116</v>
      </c>
      <c r="C15" s="69" t="s">
        <v>113</v>
      </c>
      <c r="D15" s="69">
        <v>3</v>
      </c>
      <c r="E15" s="69">
        <v>250</v>
      </c>
      <c r="F15" s="16">
        <f t="shared" si="0"/>
        <v>750</v>
      </c>
      <c r="G15" s="70">
        <v>0.4</v>
      </c>
      <c r="H15" s="16">
        <f t="shared" si="1"/>
        <v>300</v>
      </c>
      <c r="I15" s="49">
        <f t="shared" si="2"/>
        <v>1534.5268542199487</v>
      </c>
      <c r="J15" s="52"/>
      <c r="K15" s="54"/>
      <c r="L15" s="172">
        <v>32</v>
      </c>
      <c r="M15" s="169" t="s">
        <v>104</v>
      </c>
    </row>
    <row r="16" spans="1:13" ht="26.25" x14ac:dyDescent="0.4">
      <c r="A16" s="171"/>
      <c r="B16" s="16" t="s">
        <v>117</v>
      </c>
      <c r="C16" s="69" t="s">
        <v>113</v>
      </c>
      <c r="D16" s="69">
        <v>5</v>
      </c>
      <c r="E16" s="69">
        <v>250</v>
      </c>
      <c r="F16" s="16">
        <f t="shared" si="0"/>
        <v>1250</v>
      </c>
      <c r="G16" s="70">
        <v>0.4</v>
      </c>
      <c r="H16" s="16">
        <f t="shared" si="1"/>
        <v>500</v>
      </c>
      <c r="I16" s="49">
        <f t="shared" si="2"/>
        <v>2557.5447570332481</v>
      </c>
      <c r="J16" s="52"/>
      <c r="K16" s="54"/>
      <c r="L16" s="172"/>
      <c r="M16" s="169"/>
    </row>
    <row r="17" spans="1:13" ht="26.25" x14ac:dyDescent="0.4">
      <c r="A17" s="19"/>
      <c r="B17" s="19"/>
      <c r="C17" s="82"/>
      <c r="D17" s="82"/>
      <c r="E17" s="69"/>
      <c r="F17" s="16"/>
      <c r="G17" s="70"/>
      <c r="H17" s="16"/>
      <c r="I17" s="49"/>
      <c r="J17" s="52"/>
      <c r="K17" s="54"/>
      <c r="L17" s="69"/>
      <c r="M17" s="16"/>
    </row>
    <row r="18" spans="1:13" ht="26.25" x14ac:dyDescent="0.4">
      <c r="A18" s="170" t="s">
        <v>36</v>
      </c>
      <c r="B18" s="16" t="s">
        <v>118</v>
      </c>
      <c r="C18" s="69" t="s">
        <v>113</v>
      </c>
      <c r="D18" s="69">
        <v>2</v>
      </c>
      <c r="E18" s="69">
        <v>250</v>
      </c>
      <c r="F18" s="16">
        <f t="shared" si="0"/>
        <v>500</v>
      </c>
      <c r="G18" s="70">
        <v>0.4</v>
      </c>
      <c r="H18" s="16">
        <f t="shared" si="1"/>
        <v>200</v>
      </c>
      <c r="I18" s="49"/>
      <c r="J18" s="52">
        <f t="shared" si="3"/>
        <v>1023.0179028132993</v>
      </c>
      <c r="K18" s="54"/>
      <c r="L18" s="172">
        <v>32</v>
      </c>
      <c r="M18" s="169" t="s">
        <v>104</v>
      </c>
    </row>
    <row r="19" spans="1:13" ht="26.25" x14ac:dyDescent="0.4">
      <c r="A19" s="170"/>
      <c r="B19" s="16" t="s">
        <v>119</v>
      </c>
      <c r="C19" s="69" t="s">
        <v>113</v>
      </c>
      <c r="D19" s="69">
        <v>3</v>
      </c>
      <c r="E19" s="69">
        <v>250</v>
      </c>
      <c r="F19" s="16">
        <f t="shared" si="0"/>
        <v>750</v>
      </c>
      <c r="G19" s="70">
        <v>0.4</v>
      </c>
      <c r="H19" s="16">
        <f t="shared" si="1"/>
        <v>300</v>
      </c>
      <c r="I19" s="49"/>
      <c r="J19" s="52">
        <f t="shared" si="3"/>
        <v>1534.5268542199487</v>
      </c>
      <c r="K19" s="54"/>
      <c r="L19" s="172"/>
      <c r="M19" s="169"/>
    </row>
    <row r="20" spans="1:13" ht="26.25" x14ac:dyDescent="0.4">
      <c r="A20" s="170"/>
      <c r="B20" s="16" t="s">
        <v>120</v>
      </c>
      <c r="C20" s="69" t="s">
        <v>113</v>
      </c>
      <c r="D20" s="69">
        <v>3</v>
      </c>
      <c r="E20" s="69">
        <v>250</v>
      </c>
      <c r="F20" s="16">
        <f t="shared" si="0"/>
        <v>750</v>
      </c>
      <c r="G20" s="70">
        <v>0.4</v>
      </c>
      <c r="H20" s="16">
        <f t="shared" si="1"/>
        <v>300</v>
      </c>
      <c r="I20" s="49"/>
      <c r="J20" s="52">
        <f t="shared" si="3"/>
        <v>1534.5268542199487</v>
      </c>
      <c r="K20" s="54"/>
      <c r="L20" s="172"/>
      <c r="M20" s="169"/>
    </row>
    <row r="21" spans="1:13" ht="26.25" x14ac:dyDescent="0.4">
      <c r="A21" s="170"/>
      <c r="B21" s="16" t="s">
        <v>126</v>
      </c>
      <c r="C21" s="69" t="s">
        <v>113</v>
      </c>
      <c r="D21" s="69">
        <v>2</v>
      </c>
      <c r="E21" s="69">
        <v>250</v>
      </c>
      <c r="F21" s="16">
        <f t="shared" si="0"/>
        <v>500</v>
      </c>
      <c r="G21" s="70">
        <v>0.4</v>
      </c>
      <c r="H21" s="16">
        <f t="shared" si="1"/>
        <v>200</v>
      </c>
      <c r="I21" s="49"/>
      <c r="J21" s="52">
        <f t="shared" si="3"/>
        <v>1023.0179028132993</v>
      </c>
      <c r="K21" s="54"/>
      <c r="L21" s="69"/>
      <c r="M21" s="16"/>
    </row>
    <row r="22" spans="1:13" ht="26.25" x14ac:dyDescent="0.4">
      <c r="A22" s="16"/>
      <c r="B22" s="16"/>
      <c r="C22" s="69"/>
      <c r="D22" s="69"/>
      <c r="E22" s="69"/>
      <c r="F22" s="16"/>
      <c r="G22" s="70"/>
      <c r="H22" s="16"/>
      <c r="I22" s="49"/>
      <c r="J22" s="52"/>
      <c r="K22" s="54"/>
      <c r="L22" s="69"/>
      <c r="M22" s="16"/>
    </row>
    <row r="23" spans="1:13" ht="26.25" x14ac:dyDescent="0.4">
      <c r="A23" s="65" t="s">
        <v>38</v>
      </c>
      <c r="B23" s="16" t="s">
        <v>121</v>
      </c>
      <c r="C23" s="69" t="s">
        <v>113</v>
      </c>
      <c r="D23" s="69">
        <v>10</v>
      </c>
      <c r="E23" s="69">
        <v>250</v>
      </c>
      <c r="F23" s="16">
        <f t="shared" si="0"/>
        <v>2500</v>
      </c>
      <c r="G23" s="70">
        <v>0.4</v>
      </c>
      <c r="H23" s="16">
        <f t="shared" si="1"/>
        <v>1000</v>
      </c>
      <c r="I23" s="49"/>
      <c r="J23" s="52"/>
      <c r="K23" s="54">
        <f t="shared" si="4"/>
        <v>5115.0895140664961</v>
      </c>
      <c r="L23" s="69">
        <v>32</v>
      </c>
      <c r="M23" s="16" t="s">
        <v>104</v>
      </c>
    </row>
    <row r="24" spans="1:13" ht="26.25" x14ac:dyDescent="0.4">
      <c r="A24" s="16"/>
      <c r="B24" s="16"/>
      <c r="C24" s="69"/>
      <c r="D24" s="69"/>
      <c r="E24" s="69"/>
      <c r="F24" s="16"/>
      <c r="G24" s="70"/>
      <c r="H24" s="16"/>
      <c r="I24" s="49"/>
      <c r="J24" s="52"/>
      <c r="K24" s="54"/>
      <c r="L24" s="69"/>
      <c r="M24" s="16"/>
    </row>
    <row r="25" spans="1:13" ht="26.25" x14ac:dyDescent="0.4">
      <c r="A25" s="171" t="s">
        <v>40</v>
      </c>
      <c r="B25" s="16" t="s">
        <v>122</v>
      </c>
      <c r="C25" s="69" t="s">
        <v>113</v>
      </c>
      <c r="D25" s="69">
        <v>3</v>
      </c>
      <c r="E25" s="69">
        <v>250</v>
      </c>
      <c r="F25" s="16">
        <f t="shared" si="0"/>
        <v>750</v>
      </c>
      <c r="G25" s="70">
        <v>0.4</v>
      </c>
      <c r="H25" s="16">
        <f t="shared" si="1"/>
        <v>300</v>
      </c>
      <c r="I25" s="49">
        <f t="shared" si="2"/>
        <v>1534.5268542199487</v>
      </c>
      <c r="J25" s="52"/>
      <c r="K25" s="54"/>
      <c r="L25" s="172">
        <v>32</v>
      </c>
      <c r="M25" s="169" t="s">
        <v>104</v>
      </c>
    </row>
    <row r="26" spans="1:13" ht="26.25" x14ac:dyDescent="0.4">
      <c r="A26" s="171"/>
      <c r="B26" s="16" t="s">
        <v>123</v>
      </c>
      <c r="C26" s="69" t="s">
        <v>113</v>
      </c>
      <c r="D26" s="69">
        <v>1</v>
      </c>
      <c r="E26" s="69">
        <v>250</v>
      </c>
      <c r="F26" s="16">
        <f t="shared" si="0"/>
        <v>250</v>
      </c>
      <c r="G26" s="70">
        <v>0.4</v>
      </c>
      <c r="H26" s="16">
        <f t="shared" si="1"/>
        <v>100</v>
      </c>
      <c r="I26" s="49">
        <f t="shared" si="2"/>
        <v>511.50895140664966</v>
      </c>
      <c r="J26" s="52"/>
      <c r="K26" s="54"/>
      <c r="L26" s="172"/>
      <c r="M26" s="169"/>
    </row>
    <row r="27" spans="1:13" ht="30" customHeight="1" x14ac:dyDescent="0.4">
      <c r="A27" s="171"/>
      <c r="B27" s="16" t="s">
        <v>125</v>
      </c>
      <c r="C27" s="69" t="s">
        <v>113</v>
      </c>
      <c r="D27" s="69">
        <v>1</v>
      </c>
      <c r="E27" s="69">
        <v>250</v>
      </c>
      <c r="F27" s="16">
        <f t="shared" si="0"/>
        <v>250</v>
      </c>
      <c r="G27" s="70">
        <v>0.4</v>
      </c>
      <c r="H27" s="16">
        <f t="shared" si="1"/>
        <v>100</v>
      </c>
      <c r="I27" s="49">
        <f t="shared" si="2"/>
        <v>511.50895140664966</v>
      </c>
      <c r="J27" s="52"/>
      <c r="K27" s="54"/>
      <c r="L27" s="172"/>
      <c r="M27" s="169"/>
    </row>
    <row r="28" spans="1:13" ht="30" customHeight="1" x14ac:dyDescent="0.4">
      <c r="A28" s="171"/>
      <c r="B28" s="16" t="s">
        <v>127</v>
      </c>
      <c r="C28" s="69" t="s">
        <v>113</v>
      </c>
      <c r="D28" s="69">
        <v>1</v>
      </c>
      <c r="E28" s="69">
        <v>250</v>
      </c>
      <c r="F28" s="16">
        <f t="shared" si="0"/>
        <v>250</v>
      </c>
      <c r="G28" s="70">
        <v>0.4</v>
      </c>
      <c r="H28" s="16">
        <f t="shared" si="1"/>
        <v>100</v>
      </c>
      <c r="I28" s="49">
        <f t="shared" si="2"/>
        <v>511.50895140664966</v>
      </c>
      <c r="J28" s="52"/>
      <c r="K28" s="54"/>
      <c r="L28" s="172"/>
      <c r="M28" s="169"/>
    </row>
    <row r="29" spans="1:13" ht="30" customHeight="1" x14ac:dyDescent="0.4">
      <c r="A29" s="171"/>
      <c r="B29" s="16" t="s">
        <v>128</v>
      </c>
      <c r="C29" s="69" t="s">
        <v>113</v>
      </c>
      <c r="D29" s="69">
        <v>1</v>
      </c>
      <c r="E29" s="69">
        <v>250</v>
      </c>
      <c r="F29" s="16">
        <f t="shared" si="0"/>
        <v>250</v>
      </c>
      <c r="G29" s="70">
        <v>0.4</v>
      </c>
      <c r="H29" s="16">
        <f t="shared" si="1"/>
        <v>100</v>
      </c>
      <c r="I29" s="49">
        <f t="shared" si="2"/>
        <v>511.50895140664966</v>
      </c>
      <c r="J29" s="52"/>
      <c r="K29" s="54"/>
      <c r="L29" s="172"/>
      <c r="M29" s="169"/>
    </row>
    <row r="30" spans="1:13" ht="26.25" x14ac:dyDescent="0.4">
      <c r="A30" s="16"/>
      <c r="B30" s="16"/>
      <c r="C30" s="69"/>
      <c r="D30" s="69"/>
      <c r="E30" s="69"/>
      <c r="F30" s="16"/>
      <c r="G30" s="70"/>
      <c r="H30" s="16"/>
      <c r="I30" s="49"/>
      <c r="J30" s="52"/>
      <c r="K30" s="54"/>
      <c r="L30" s="69"/>
      <c r="M30" s="16"/>
    </row>
    <row r="31" spans="1:13" ht="26.25" x14ac:dyDescent="0.4">
      <c r="A31" s="51" t="s">
        <v>43</v>
      </c>
      <c r="B31" s="16" t="s">
        <v>121</v>
      </c>
      <c r="C31" s="69" t="s">
        <v>113</v>
      </c>
      <c r="D31" s="69">
        <v>10</v>
      </c>
      <c r="E31" s="69">
        <v>250</v>
      </c>
      <c r="F31" s="16">
        <f t="shared" si="0"/>
        <v>2500</v>
      </c>
      <c r="G31" s="70">
        <v>0.4</v>
      </c>
      <c r="H31" s="16">
        <f t="shared" si="1"/>
        <v>1000</v>
      </c>
      <c r="I31" s="49"/>
      <c r="J31" s="52">
        <f t="shared" si="3"/>
        <v>5115.0895140664961</v>
      </c>
      <c r="K31" s="54"/>
      <c r="L31" s="69">
        <v>32</v>
      </c>
      <c r="M31" s="16" t="s">
        <v>104</v>
      </c>
    </row>
    <row r="32" spans="1:13" ht="26.25" x14ac:dyDescent="0.4">
      <c r="A32" s="19"/>
      <c r="B32" s="19"/>
      <c r="C32" s="82"/>
      <c r="D32" s="82"/>
      <c r="E32" s="69"/>
      <c r="F32" s="16"/>
      <c r="G32" s="70"/>
      <c r="H32" s="16"/>
      <c r="I32" s="49"/>
      <c r="J32" s="52"/>
      <c r="K32" s="54"/>
      <c r="L32" s="69"/>
      <c r="M32" s="16"/>
    </row>
    <row r="33" spans="1:13" ht="26.25" x14ac:dyDescent="0.4">
      <c r="A33" s="65" t="s">
        <v>48</v>
      </c>
      <c r="B33" s="16" t="s">
        <v>129</v>
      </c>
      <c r="C33" s="69" t="s">
        <v>113</v>
      </c>
      <c r="D33" s="69">
        <v>10</v>
      </c>
      <c r="E33" s="69">
        <v>250</v>
      </c>
      <c r="F33" s="16">
        <f t="shared" si="0"/>
        <v>2500</v>
      </c>
      <c r="G33" s="70">
        <v>0.4</v>
      </c>
      <c r="H33" s="16">
        <f t="shared" si="1"/>
        <v>1000</v>
      </c>
      <c r="I33" s="49"/>
      <c r="J33" s="52"/>
      <c r="K33" s="54">
        <f t="shared" si="4"/>
        <v>5115.0895140664961</v>
      </c>
      <c r="L33" s="69">
        <v>32</v>
      </c>
      <c r="M33" s="16" t="s">
        <v>104</v>
      </c>
    </row>
    <row r="34" spans="1:13" ht="26.25" x14ac:dyDescent="0.4">
      <c r="A34" s="16"/>
      <c r="B34" s="16"/>
      <c r="C34" s="69"/>
      <c r="D34" s="69"/>
      <c r="E34" s="69"/>
      <c r="F34" s="16"/>
      <c r="G34" s="70"/>
      <c r="H34" s="16"/>
      <c r="I34" s="49"/>
      <c r="J34" s="52"/>
      <c r="K34" s="54"/>
      <c r="L34" s="69"/>
      <c r="M34" s="16"/>
    </row>
    <row r="35" spans="1:13" ht="26.25" x14ac:dyDescent="0.4">
      <c r="A35" s="171" t="s">
        <v>57</v>
      </c>
      <c r="B35" s="16" t="s">
        <v>130</v>
      </c>
      <c r="C35" s="69" t="s">
        <v>113</v>
      </c>
      <c r="D35" s="69">
        <v>2</v>
      </c>
      <c r="E35" s="69">
        <v>250</v>
      </c>
      <c r="F35" s="16">
        <f t="shared" si="0"/>
        <v>500</v>
      </c>
      <c r="G35" s="70">
        <v>0.4</v>
      </c>
      <c r="H35" s="16">
        <f t="shared" si="1"/>
        <v>200</v>
      </c>
      <c r="I35" s="49">
        <f t="shared" si="2"/>
        <v>1023.0179028132993</v>
      </c>
      <c r="J35" s="52"/>
      <c r="K35" s="54"/>
      <c r="L35" s="172">
        <v>32</v>
      </c>
      <c r="M35" s="169" t="s">
        <v>104</v>
      </c>
    </row>
    <row r="36" spans="1:13" ht="26.25" x14ac:dyDescent="0.4">
      <c r="A36" s="171"/>
      <c r="B36" s="16" t="s">
        <v>131</v>
      </c>
      <c r="C36" s="69" t="s">
        <v>113</v>
      </c>
      <c r="D36" s="69">
        <v>2</v>
      </c>
      <c r="E36" s="69">
        <v>250</v>
      </c>
      <c r="F36" s="16">
        <f>E36*D36</f>
        <v>500</v>
      </c>
      <c r="G36" s="70">
        <v>0.4</v>
      </c>
      <c r="H36" s="16">
        <f t="shared" si="1"/>
        <v>200</v>
      </c>
      <c r="I36" s="49">
        <f t="shared" si="2"/>
        <v>1023.0179028132993</v>
      </c>
      <c r="J36" s="52"/>
      <c r="K36" s="54"/>
      <c r="L36" s="172"/>
      <c r="M36" s="169"/>
    </row>
    <row r="37" spans="1:13" ht="26.25" x14ac:dyDescent="0.4">
      <c r="A37" s="171"/>
      <c r="B37" s="16" t="s">
        <v>132</v>
      </c>
      <c r="C37" s="69" t="s">
        <v>113</v>
      </c>
      <c r="D37" s="69">
        <v>5</v>
      </c>
      <c r="E37" s="69">
        <v>250</v>
      </c>
      <c r="F37" s="16">
        <f>E37*D37</f>
        <v>1250</v>
      </c>
      <c r="G37" s="70">
        <v>0.4</v>
      </c>
      <c r="H37" s="16">
        <f t="shared" si="1"/>
        <v>500</v>
      </c>
      <c r="I37" s="49">
        <f t="shared" si="2"/>
        <v>2557.5447570332481</v>
      </c>
      <c r="J37" s="52"/>
      <c r="K37" s="54"/>
      <c r="L37" s="172"/>
      <c r="M37" s="169"/>
    </row>
    <row r="38" spans="1:13" ht="26.25" x14ac:dyDescent="0.4">
      <c r="A38" s="16"/>
      <c r="B38" s="16"/>
      <c r="C38" s="69"/>
      <c r="D38" s="69"/>
      <c r="E38" s="69"/>
      <c r="F38" s="16"/>
      <c r="G38" s="70"/>
      <c r="H38" s="16"/>
      <c r="I38" s="49"/>
      <c r="J38" s="52"/>
      <c r="K38" s="54"/>
      <c r="L38" s="69"/>
      <c r="M38" s="16"/>
    </row>
    <row r="39" spans="1:13" ht="26.25" x14ac:dyDescent="0.4">
      <c r="A39" s="179" t="s">
        <v>63</v>
      </c>
      <c r="B39" s="16" t="s">
        <v>133</v>
      </c>
      <c r="C39" s="69" t="s">
        <v>113</v>
      </c>
      <c r="D39" s="69">
        <v>2</v>
      </c>
      <c r="E39" s="69">
        <v>250</v>
      </c>
      <c r="F39" s="16">
        <f t="shared" ref="F39:F40" si="5">E39*D39</f>
        <v>500</v>
      </c>
      <c r="G39" s="70">
        <v>0.4</v>
      </c>
      <c r="H39" s="16">
        <f t="shared" si="1"/>
        <v>200</v>
      </c>
      <c r="I39" s="49"/>
      <c r="J39" s="52"/>
      <c r="K39" s="54">
        <f t="shared" si="4"/>
        <v>1023.0179028132993</v>
      </c>
      <c r="L39" s="172">
        <v>32</v>
      </c>
      <c r="M39" s="169" t="s">
        <v>104</v>
      </c>
    </row>
    <row r="40" spans="1:13" ht="26.25" x14ac:dyDescent="0.4">
      <c r="A40" s="179"/>
      <c r="B40" s="16" t="s">
        <v>134</v>
      </c>
      <c r="C40" s="69" t="s">
        <v>113</v>
      </c>
      <c r="D40" s="69">
        <v>3</v>
      </c>
      <c r="E40" s="69">
        <v>250</v>
      </c>
      <c r="F40" s="16">
        <f t="shared" si="5"/>
        <v>750</v>
      </c>
      <c r="G40" s="70">
        <v>0.4</v>
      </c>
      <c r="H40" s="16">
        <f t="shared" si="1"/>
        <v>300</v>
      </c>
      <c r="I40" s="49"/>
      <c r="J40" s="52"/>
      <c r="K40" s="54">
        <f t="shared" si="4"/>
        <v>1534.5268542199487</v>
      </c>
      <c r="L40" s="172"/>
      <c r="M40" s="169"/>
    </row>
    <row r="41" spans="1:13" ht="26.25" x14ac:dyDescent="0.4">
      <c r="A41" s="16"/>
      <c r="B41" s="16"/>
      <c r="C41" s="69"/>
      <c r="D41" s="69"/>
      <c r="E41" s="69"/>
      <c r="F41" s="16"/>
      <c r="G41" s="70"/>
      <c r="H41" s="16"/>
      <c r="I41" s="49"/>
      <c r="J41" s="52"/>
      <c r="K41" s="54"/>
      <c r="L41" s="69"/>
      <c r="M41" s="16"/>
    </row>
    <row r="42" spans="1:13" ht="26.25" x14ac:dyDescent="0.4">
      <c r="A42" s="178" t="s">
        <v>108</v>
      </c>
      <c r="B42" s="178"/>
      <c r="C42" s="178"/>
      <c r="D42" s="91">
        <f>SUM(D6:D40)</f>
        <v>96</v>
      </c>
      <c r="E42" s="91">
        <f>SUM(E6:E40)</f>
        <v>6250</v>
      </c>
      <c r="F42" s="73">
        <f>SUM(F6:F40)</f>
        <v>24000</v>
      </c>
      <c r="G42" s="113"/>
      <c r="H42" s="73">
        <f>SUM(H6:H40)</f>
        <v>9600</v>
      </c>
      <c r="I42" s="59">
        <f>SUM(I6:I38)</f>
        <v>16879.795396419435</v>
      </c>
      <c r="J42" s="60">
        <f>SUM(J6:J38)</f>
        <v>15345.268542199487</v>
      </c>
      <c r="K42" s="61">
        <f>SUM(K6:K41)</f>
        <v>16879.795396419438</v>
      </c>
      <c r="L42" s="82"/>
      <c r="M42" s="19"/>
    </row>
    <row r="43" spans="1:13" ht="18.75" x14ac:dyDescent="0.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</row>
    <row r="44" spans="1:13" ht="18.75" x14ac:dyDescent="0.3">
      <c r="A44" s="66"/>
      <c r="B44" s="66"/>
      <c r="C44" s="66"/>
      <c r="D44" s="66"/>
      <c r="E44" s="66"/>
      <c r="F44" s="66"/>
      <c r="G44" s="66"/>
      <c r="H44" s="66"/>
      <c r="I44" s="67"/>
      <c r="J44" s="67"/>
      <c r="K44" s="67"/>
      <c r="L44" s="66"/>
      <c r="M44" s="66"/>
    </row>
    <row r="45" spans="1:13" x14ac:dyDescent="0.25">
      <c r="B45" s="10"/>
      <c r="C45" s="10"/>
      <c r="D45" s="10"/>
      <c r="E45" s="10"/>
      <c r="F45" s="10"/>
      <c r="G45" s="10"/>
      <c r="H45" s="10"/>
      <c r="I45" s="10"/>
      <c r="L45" s="10"/>
      <c r="M45" s="10"/>
    </row>
    <row r="46" spans="1:13" x14ac:dyDescent="0.25">
      <c r="B46" s="10"/>
      <c r="C46" s="10"/>
      <c r="D46" s="10"/>
      <c r="E46" s="10"/>
      <c r="F46" s="10"/>
      <c r="G46" s="10"/>
      <c r="H46" s="10"/>
      <c r="I46" s="10"/>
      <c r="L46" s="10"/>
      <c r="M46" s="10"/>
    </row>
    <row r="47" spans="1:13" x14ac:dyDescent="0.25">
      <c r="B47" s="10"/>
      <c r="C47" s="10"/>
      <c r="D47" s="10"/>
      <c r="E47" s="10"/>
      <c r="F47" s="10"/>
      <c r="G47" s="10"/>
      <c r="H47" s="10"/>
      <c r="I47" s="10"/>
      <c r="L47" s="10"/>
      <c r="M47" s="10"/>
    </row>
    <row r="48" spans="1:13" x14ac:dyDescent="0.25">
      <c r="B48" s="10"/>
      <c r="C48" s="10"/>
      <c r="D48" s="10"/>
      <c r="E48" s="10"/>
      <c r="F48" s="10"/>
      <c r="G48" s="10"/>
      <c r="H48" s="10"/>
      <c r="I48" s="10"/>
      <c r="L48" s="10"/>
      <c r="M48" s="10"/>
    </row>
    <row r="50" spans="1:13" x14ac:dyDescent="0.25">
      <c r="B50" s="10"/>
      <c r="C50" s="68"/>
      <c r="D50" s="10"/>
      <c r="E50" s="10"/>
      <c r="F50" s="10"/>
      <c r="G50" s="10"/>
      <c r="H50" s="10"/>
      <c r="J50" s="43"/>
      <c r="L50" s="10"/>
      <c r="M50" s="10"/>
    </row>
    <row r="51" spans="1:13" x14ac:dyDescent="0.25">
      <c r="A51" s="10"/>
      <c r="B51" s="10"/>
      <c r="C51" s="10"/>
      <c r="D51" s="10"/>
      <c r="E51" s="10"/>
      <c r="F51" s="10"/>
      <c r="G51" s="10"/>
      <c r="H51" s="10"/>
      <c r="J51" s="43"/>
      <c r="L51" s="10"/>
      <c r="M51" s="10"/>
    </row>
    <row r="52" spans="1:13" x14ac:dyDescent="0.25">
      <c r="L52" s="10"/>
      <c r="M52" s="10"/>
    </row>
    <row r="53" spans="1:13" x14ac:dyDescent="0.25">
      <c r="B53" s="10"/>
      <c r="C53" s="68"/>
      <c r="D53" s="10"/>
      <c r="E53" s="10"/>
      <c r="F53" s="10"/>
      <c r="G53" s="10"/>
      <c r="H53" s="10"/>
      <c r="K53" s="43"/>
      <c r="L53" s="10"/>
      <c r="M53" s="10"/>
    </row>
    <row r="54" spans="1:13" x14ac:dyDescent="0.25">
      <c r="L54" s="10"/>
      <c r="M54" s="10"/>
    </row>
    <row r="55" spans="1:13" x14ac:dyDescent="0.25">
      <c r="B55" s="10"/>
      <c r="C55" s="68"/>
      <c r="D55" s="68"/>
      <c r="E55" s="10"/>
      <c r="F55" s="10"/>
      <c r="G55" s="10"/>
      <c r="H55" s="10"/>
      <c r="I55" s="10"/>
      <c r="L55" s="10"/>
      <c r="M55" s="10"/>
    </row>
    <row r="56" spans="1:13" x14ac:dyDescent="0.25">
      <c r="A56" s="10"/>
      <c r="B56" s="10"/>
      <c r="C56" s="10"/>
      <c r="D56" s="10"/>
      <c r="E56" s="10"/>
      <c r="F56" s="10"/>
      <c r="G56" s="10"/>
      <c r="H56" s="10"/>
      <c r="I56" s="10"/>
      <c r="L56" s="10"/>
      <c r="M56" s="10"/>
    </row>
    <row r="57" spans="1:13" x14ac:dyDescent="0.25">
      <c r="L57" s="10"/>
      <c r="M57" s="10"/>
    </row>
    <row r="58" spans="1:13" x14ac:dyDescent="0.25">
      <c r="B58" s="10"/>
      <c r="C58" s="68"/>
      <c r="D58" s="68"/>
      <c r="E58" s="10"/>
      <c r="F58" s="10"/>
      <c r="G58" s="10"/>
      <c r="H58" s="10"/>
      <c r="J58" s="43"/>
      <c r="L58" s="10"/>
      <c r="M58" s="10"/>
    </row>
    <row r="59" spans="1:13" x14ac:dyDescent="0.25">
      <c r="A59" s="10"/>
      <c r="B59" s="10"/>
      <c r="C59" s="10"/>
      <c r="D59" s="10"/>
      <c r="E59" s="10"/>
      <c r="F59" s="10"/>
      <c r="G59" s="10"/>
      <c r="H59" s="10"/>
      <c r="J59" s="43"/>
      <c r="L59" s="10"/>
      <c r="M59" s="10"/>
    </row>
    <row r="60" spans="1:13" x14ac:dyDescent="0.25">
      <c r="F60" s="10"/>
      <c r="L60" s="10"/>
      <c r="M60" s="10"/>
    </row>
    <row r="61" spans="1:13" x14ac:dyDescent="0.25">
      <c r="B61" s="10"/>
      <c r="C61" s="10"/>
      <c r="D61" s="68"/>
      <c r="E61" s="10"/>
      <c r="F61" s="10"/>
      <c r="G61" s="10"/>
      <c r="H61" s="10"/>
      <c r="K61" s="43"/>
      <c r="L61" s="10"/>
      <c r="M61" s="10"/>
    </row>
    <row r="62" spans="1:13" x14ac:dyDescent="0.25">
      <c r="A62" s="10"/>
      <c r="B62" s="10"/>
      <c r="C62" s="10"/>
      <c r="D62" s="10"/>
      <c r="E62" s="10"/>
      <c r="F62" s="10"/>
      <c r="G62" s="10"/>
      <c r="H62" s="10"/>
      <c r="K62" s="43"/>
      <c r="L62" s="10"/>
      <c r="M62" s="10"/>
    </row>
    <row r="63" spans="1:13" x14ac:dyDescent="0.25">
      <c r="L63" s="10"/>
      <c r="M63" s="10"/>
    </row>
    <row r="64" spans="1:13" x14ac:dyDescent="0.25">
      <c r="B64" s="10"/>
      <c r="C64" s="10"/>
      <c r="D64" s="68"/>
      <c r="E64" s="10"/>
      <c r="F64" s="10"/>
      <c r="G64" s="10"/>
      <c r="H64" s="10"/>
      <c r="I64" s="10"/>
      <c r="L64" s="10"/>
      <c r="M64" s="10"/>
    </row>
    <row r="65" spans="1:13" x14ac:dyDescent="0.25">
      <c r="A65" s="10"/>
      <c r="B65" s="10"/>
      <c r="C65" s="10"/>
      <c r="D65" s="10"/>
      <c r="E65" s="10"/>
      <c r="F65" s="10"/>
      <c r="G65" s="10"/>
      <c r="H65" s="10"/>
      <c r="I65" s="10"/>
      <c r="L65" s="10"/>
      <c r="M65" s="10"/>
    </row>
    <row r="66" spans="1:13" x14ac:dyDescent="0.25">
      <c r="L66" s="10"/>
      <c r="M66" s="10"/>
    </row>
    <row r="67" spans="1:13" x14ac:dyDescent="0.25">
      <c r="L67" s="10"/>
      <c r="M67" s="10"/>
    </row>
    <row r="68" spans="1:13" x14ac:dyDescent="0.25">
      <c r="A68" s="177"/>
      <c r="B68" s="177"/>
      <c r="C68" s="177"/>
      <c r="E68" s="10"/>
      <c r="F68" s="10"/>
      <c r="G68" s="43"/>
      <c r="H68" s="10"/>
      <c r="I68" s="45"/>
      <c r="J68" s="45"/>
      <c r="K68" s="45"/>
      <c r="L68" s="10"/>
      <c r="M68" s="10"/>
    </row>
  </sheetData>
  <mergeCells count="32">
    <mergeCell ref="M6:M7"/>
    <mergeCell ref="A68:C68"/>
    <mergeCell ref="A9:A10"/>
    <mergeCell ref="A15:A16"/>
    <mergeCell ref="A42:C42"/>
    <mergeCell ref="A12:A13"/>
    <mergeCell ref="L9:L10"/>
    <mergeCell ref="L12:L13"/>
    <mergeCell ref="L15:L16"/>
    <mergeCell ref="L18:L20"/>
    <mergeCell ref="A6:A7"/>
    <mergeCell ref="L6:L7"/>
    <mergeCell ref="L25:L29"/>
    <mergeCell ref="A35:A37"/>
    <mergeCell ref="L35:L37"/>
    <mergeCell ref="A39:A40"/>
    <mergeCell ref="A1:M1"/>
    <mergeCell ref="A2:M2"/>
    <mergeCell ref="A4:A5"/>
    <mergeCell ref="B4:C4"/>
    <mergeCell ref="D4:D5"/>
    <mergeCell ref="A3:M3"/>
    <mergeCell ref="A25:A29"/>
    <mergeCell ref="L39:L40"/>
    <mergeCell ref="M39:M40"/>
    <mergeCell ref="M25:M29"/>
    <mergeCell ref="M35:M37"/>
    <mergeCell ref="M9:M10"/>
    <mergeCell ref="M12:M13"/>
    <mergeCell ref="M15:M16"/>
    <mergeCell ref="M18:M20"/>
    <mergeCell ref="A18:A21"/>
  </mergeCells>
  <pageMargins left="0.75" right="0.75" top="1" bottom="1" header="0.5" footer="0.5"/>
  <pageSetup paperSize="125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F0B2-C53D-4457-B009-AA2C202BBB94}">
  <dimension ref="A1:M51"/>
  <sheetViews>
    <sheetView topLeftCell="A16" zoomScale="55" zoomScaleNormal="55" workbookViewId="0">
      <selection activeCell="I48" sqref="I48"/>
    </sheetView>
  </sheetViews>
  <sheetFormatPr defaultRowHeight="15.75" x14ac:dyDescent="0.25"/>
  <cols>
    <col min="1" max="1" width="18.125" style="44" bestFit="1" customWidth="1"/>
    <col min="2" max="2" width="48.75" style="44" bestFit="1" customWidth="1"/>
    <col min="3" max="3" width="43.125" style="44" bestFit="1" customWidth="1"/>
    <col min="4" max="4" width="8.75" style="44" bestFit="1" customWidth="1"/>
    <col min="5" max="5" width="18.75" style="44" bestFit="1" customWidth="1"/>
    <col min="6" max="6" width="27" style="44" bestFit="1" customWidth="1"/>
    <col min="7" max="7" width="15.375" style="44" bestFit="1" customWidth="1"/>
    <col min="8" max="8" width="19.625" style="44" bestFit="1" customWidth="1"/>
    <col min="9" max="9" width="23.5" style="44" bestFit="1" customWidth="1"/>
    <col min="10" max="10" width="29.5" style="44" customWidth="1"/>
    <col min="11" max="11" width="29.75" style="44" customWidth="1"/>
    <col min="12" max="12" width="25.75" style="44" bestFit="1" customWidth="1"/>
    <col min="13" max="13" width="18.125" style="44" bestFit="1" customWidth="1"/>
    <col min="14" max="16384" width="9" style="44"/>
  </cols>
  <sheetData>
    <row r="1" spans="1:13" ht="25.5" x14ac:dyDescent="0.25">
      <c r="A1" s="180" t="s">
        <v>187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</row>
    <row r="2" spans="1:13" ht="26.25" customHeight="1" x14ac:dyDescent="0.35">
      <c r="A2" s="181" t="s">
        <v>188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</row>
    <row r="3" spans="1:13" ht="25.5" x14ac:dyDescent="0.25">
      <c r="A3" s="149" t="s">
        <v>2</v>
      </c>
      <c r="B3" s="150" t="s">
        <v>3</v>
      </c>
      <c r="C3" s="150"/>
      <c r="D3" s="150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12" t="s">
        <v>9</v>
      </c>
      <c r="J3" s="13" t="s">
        <v>9</v>
      </c>
      <c r="K3" s="14" t="s">
        <v>9</v>
      </c>
      <c r="L3" s="4" t="s">
        <v>10</v>
      </c>
      <c r="M3" s="8" t="s">
        <v>11</v>
      </c>
    </row>
    <row r="4" spans="1:13" ht="25.5" x14ac:dyDescent="0.35">
      <c r="A4" s="149"/>
      <c r="B4" s="4" t="s">
        <v>12</v>
      </c>
      <c r="C4" s="4" t="s">
        <v>135</v>
      </c>
      <c r="D4" s="150"/>
      <c r="E4" s="3" t="s">
        <v>14</v>
      </c>
      <c r="F4" s="4" t="s">
        <v>15</v>
      </c>
      <c r="G4" s="4" t="s">
        <v>16</v>
      </c>
      <c r="H4" s="4" t="s">
        <v>17</v>
      </c>
      <c r="I4" s="12" t="s">
        <v>18</v>
      </c>
      <c r="J4" s="13" t="s">
        <v>150</v>
      </c>
      <c r="K4" s="14" t="s">
        <v>151</v>
      </c>
      <c r="L4" s="4" t="s">
        <v>21</v>
      </c>
      <c r="M4" s="8" t="s">
        <v>22</v>
      </c>
    </row>
    <row r="5" spans="1:13" ht="26.25" x14ac:dyDescent="0.4">
      <c r="A5" s="38" t="s">
        <v>23</v>
      </c>
      <c r="B5" s="15" t="s">
        <v>138</v>
      </c>
      <c r="C5" s="17" t="s">
        <v>139</v>
      </c>
      <c r="D5" s="15">
        <v>1</v>
      </c>
      <c r="E5" s="15">
        <v>1090</v>
      </c>
      <c r="F5" s="15">
        <f>E5*D5</f>
        <v>1090</v>
      </c>
      <c r="G5" s="15">
        <v>1</v>
      </c>
      <c r="H5" s="16">
        <f>F5*G5</f>
        <v>1090</v>
      </c>
      <c r="I5" s="49">
        <f>(H5/(230*0.85))*1000</f>
        <v>5575.4475703324806</v>
      </c>
      <c r="J5" s="52"/>
      <c r="K5" s="54"/>
      <c r="L5" s="15">
        <v>32</v>
      </c>
      <c r="M5" s="15" t="s">
        <v>136</v>
      </c>
    </row>
    <row r="6" spans="1:13" ht="26.25" x14ac:dyDescent="0.4">
      <c r="A6" s="15"/>
      <c r="B6" s="15"/>
      <c r="C6" s="15"/>
      <c r="D6" s="15"/>
      <c r="E6" s="15"/>
      <c r="F6" s="15"/>
      <c r="G6" s="15"/>
      <c r="H6" s="16"/>
      <c r="I6" s="49"/>
      <c r="J6" s="52"/>
      <c r="K6" s="54"/>
      <c r="L6" s="15"/>
      <c r="M6" s="15"/>
    </row>
    <row r="7" spans="1:13" ht="26.25" x14ac:dyDescent="0.4">
      <c r="A7" s="37" t="s">
        <v>29</v>
      </c>
      <c r="B7" s="15" t="s">
        <v>140</v>
      </c>
      <c r="C7" s="15" t="s">
        <v>139</v>
      </c>
      <c r="D7" s="15">
        <v>1</v>
      </c>
      <c r="E7" s="15">
        <v>1090</v>
      </c>
      <c r="F7" s="15">
        <f>E7*D7</f>
        <v>1090</v>
      </c>
      <c r="G7" s="15">
        <v>1</v>
      </c>
      <c r="H7" s="16">
        <f>F7*G7</f>
        <v>1090</v>
      </c>
      <c r="I7" s="49"/>
      <c r="J7" s="52">
        <f t="shared" ref="J7:J31" si="0">(H7/(230*0.85))*1000</f>
        <v>5575.4475703324806</v>
      </c>
      <c r="K7" s="54"/>
      <c r="L7" s="15">
        <v>32</v>
      </c>
      <c r="M7" s="15" t="s">
        <v>136</v>
      </c>
    </row>
    <row r="8" spans="1:13" ht="26.25" x14ac:dyDescent="0.4">
      <c r="A8" s="17"/>
      <c r="B8" s="17"/>
      <c r="C8" s="17"/>
      <c r="D8" s="17"/>
      <c r="E8" s="15"/>
      <c r="F8" s="15"/>
      <c r="G8" s="17"/>
      <c r="H8" s="16"/>
      <c r="I8" s="49"/>
      <c r="J8" s="52"/>
      <c r="K8" s="54"/>
      <c r="L8" s="15"/>
      <c r="M8" s="15"/>
    </row>
    <row r="9" spans="1:13" ht="26.25" x14ac:dyDescent="0.4">
      <c r="A9" s="36" t="s">
        <v>31</v>
      </c>
      <c r="B9" s="15" t="s">
        <v>141</v>
      </c>
      <c r="C9" s="15" t="s">
        <v>142</v>
      </c>
      <c r="D9" s="15">
        <v>1</v>
      </c>
      <c r="E9" s="15">
        <v>1730</v>
      </c>
      <c r="F9" s="15">
        <f>E9*D9</f>
        <v>1730</v>
      </c>
      <c r="G9" s="15">
        <v>1</v>
      </c>
      <c r="H9" s="16">
        <f>F9*G9</f>
        <v>1730</v>
      </c>
      <c r="I9" s="49"/>
      <c r="J9" s="52"/>
      <c r="K9" s="54">
        <f t="shared" ref="K9:K43" si="1">(H9/(230*0.85))*1000</f>
        <v>8849.1048593350388</v>
      </c>
      <c r="L9" s="15">
        <v>32</v>
      </c>
      <c r="M9" s="15" t="s">
        <v>136</v>
      </c>
    </row>
    <row r="10" spans="1:13" ht="26.25" x14ac:dyDescent="0.4">
      <c r="A10" s="17"/>
      <c r="B10" s="15"/>
      <c r="C10" s="15"/>
      <c r="D10" s="15"/>
      <c r="E10" s="15"/>
      <c r="F10" s="15"/>
      <c r="G10" s="15"/>
      <c r="H10" s="16"/>
      <c r="I10" s="49"/>
      <c r="J10" s="52"/>
      <c r="K10" s="54"/>
      <c r="L10" s="15"/>
      <c r="M10" s="15"/>
    </row>
    <row r="11" spans="1:13" ht="26.25" x14ac:dyDescent="0.4">
      <c r="A11" s="38" t="s">
        <v>34</v>
      </c>
      <c r="B11" s="15" t="s">
        <v>114</v>
      </c>
      <c r="C11" s="15" t="s">
        <v>142</v>
      </c>
      <c r="D11" s="15">
        <v>1</v>
      </c>
      <c r="E11" s="15">
        <v>1730</v>
      </c>
      <c r="F11" s="15">
        <f>E11*D11</f>
        <v>1730</v>
      </c>
      <c r="G11" s="15">
        <v>1</v>
      </c>
      <c r="H11" s="16">
        <f>F11*G11</f>
        <v>1730</v>
      </c>
      <c r="I11" s="49">
        <f t="shared" ref="I11:I41" si="2">(H11/(230*0.85))*1000</f>
        <v>8849.1048593350388</v>
      </c>
      <c r="J11" s="52"/>
      <c r="K11" s="54"/>
      <c r="L11" s="15">
        <v>32</v>
      </c>
      <c r="M11" s="15" t="s">
        <v>136</v>
      </c>
    </row>
    <row r="12" spans="1:13" ht="26.25" x14ac:dyDescent="0.4">
      <c r="A12" s="15"/>
      <c r="B12" s="15"/>
      <c r="C12" s="15"/>
      <c r="D12" s="15"/>
      <c r="E12" s="15"/>
      <c r="F12" s="15"/>
      <c r="G12" s="15"/>
      <c r="H12" s="16"/>
      <c r="I12" s="49"/>
      <c r="J12" s="52"/>
      <c r="K12" s="54"/>
      <c r="L12" s="15"/>
      <c r="M12" s="15"/>
    </row>
    <row r="13" spans="1:13" ht="26.25" x14ac:dyDescent="0.4">
      <c r="A13" s="37" t="s">
        <v>36</v>
      </c>
      <c r="B13" s="15" t="s">
        <v>116</v>
      </c>
      <c r="C13" s="15" t="s">
        <v>143</v>
      </c>
      <c r="D13" s="15">
        <v>1</v>
      </c>
      <c r="E13" s="15">
        <v>890</v>
      </c>
      <c r="F13" s="15">
        <f>E13*D13</f>
        <v>890</v>
      </c>
      <c r="G13" s="15">
        <v>1</v>
      </c>
      <c r="H13" s="16">
        <f>F13*G13</f>
        <v>890</v>
      </c>
      <c r="I13" s="49"/>
      <c r="J13" s="52">
        <f t="shared" si="0"/>
        <v>4552.4296675191817</v>
      </c>
      <c r="K13" s="54"/>
      <c r="L13" s="15">
        <v>32</v>
      </c>
      <c r="M13" s="15" t="s">
        <v>136</v>
      </c>
    </row>
    <row r="14" spans="1:13" ht="26.25" x14ac:dyDescent="0.4">
      <c r="A14" s="17"/>
      <c r="B14" s="15"/>
      <c r="C14" s="15"/>
      <c r="D14" s="15"/>
      <c r="E14" s="15"/>
      <c r="F14" s="15"/>
      <c r="G14" s="15"/>
      <c r="H14" s="16"/>
      <c r="I14" s="49"/>
      <c r="J14" s="52"/>
      <c r="K14" s="54"/>
      <c r="L14" s="15"/>
      <c r="M14" s="15"/>
    </row>
    <row r="15" spans="1:13" ht="26.25" x14ac:dyDescent="0.4">
      <c r="A15" s="36" t="s">
        <v>38</v>
      </c>
      <c r="B15" s="15" t="s">
        <v>120</v>
      </c>
      <c r="C15" s="15" t="s">
        <v>143</v>
      </c>
      <c r="D15" s="15">
        <v>1</v>
      </c>
      <c r="E15" s="15">
        <v>890</v>
      </c>
      <c r="F15" s="15">
        <f>E15*D15</f>
        <v>890</v>
      </c>
      <c r="G15" s="15">
        <v>1</v>
      </c>
      <c r="H15" s="16">
        <f>F15*G15</f>
        <v>890</v>
      </c>
      <c r="I15" s="49"/>
      <c r="J15" s="52"/>
      <c r="K15" s="54">
        <f t="shared" si="1"/>
        <v>4552.4296675191817</v>
      </c>
      <c r="L15" s="15">
        <v>32</v>
      </c>
      <c r="M15" s="15" t="s">
        <v>136</v>
      </c>
    </row>
    <row r="16" spans="1:13" ht="26.25" x14ac:dyDescent="0.4">
      <c r="A16" s="17"/>
      <c r="B16" s="15"/>
      <c r="C16" s="15"/>
      <c r="D16" s="15"/>
      <c r="E16" s="15"/>
      <c r="F16" s="15"/>
      <c r="G16" s="17"/>
      <c r="H16" s="16"/>
      <c r="I16" s="49"/>
      <c r="J16" s="52"/>
      <c r="K16" s="54"/>
      <c r="L16" s="15"/>
      <c r="M16" s="15"/>
    </row>
    <row r="17" spans="1:13" ht="26.25" x14ac:dyDescent="0.4">
      <c r="A17" s="38" t="s">
        <v>40</v>
      </c>
      <c r="B17" s="15" t="s">
        <v>119</v>
      </c>
      <c r="C17" s="15" t="s">
        <v>143</v>
      </c>
      <c r="D17" s="15">
        <v>1</v>
      </c>
      <c r="E17" s="15">
        <v>890</v>
      </c>
      <c r="F17" s="15">
        <f>E17*D17</f>
        <v>890</v>
      </c>
      <c r="G17" s="15">
        <v>1</v>
      </c>
      <c r="H17" s="16">
        <f>F17*G17</f>
        <v>890</v>
      </c>
      <c r="I17" s="49">
        <f t="shared" si="2"/>
        <v>4552.4296675191817</v>
      </c>
      <c r="J17" s="52"/>
      <c r="K17" s="54"/>
      <c r="L17" s="15">
        <v>32</v>
      </c>
      <c r="M17" s="15" t="s">
        <v>136</v>
      </c>
    </row>
    <row r="18" spans="1:13" ht="26.25" x14ac:dyDescent="0.4">
      <c r="A18" s="15"/>
      <c r="B18" s="15"/>
      <c r="C18" s="15"/>
      <c r="D18" s="15"/>
      <c r="E18" s="15"/>
      <c r="F18" s="15"/>
      <c r="G18" s="15"/>
      <c r="H18" s="16"/>
      <c r="I18" s="49"/>
      <c r="J18" s="52"/>
      <c r="K18" s="54"/>
      <c r="L18" s="15"/>
      <c r="M18" s="15"/>
    </row>
    <row r="19" spans="1:13" ht="26.25" x14ac:dyDescent="0.4">
      <c r="A19" s="37" t="s">
        <v>43</v>
      </c>
      <c r="B19" s="15" t="s">
        <v>144</v>
      </c>
      <c r="C19" s="15" t="s">
        <v>142</v>
      </c>
      <c r="D19" s="15">
        <v>1</v>
      </c>
      <c r="E19" s="15">
        <v>1730</v>
      </c>
      <c r="F19" s="15">
        <f>E19*D19</f>
        <v>1730</v>
      </c>
      <c r="G19" s="15">
        <v>1</v>
      </c>
      <c r="H19" s="16">
        <f>F19*G19</f>
        <v>1730</v>
      </c>
      <c r="I19" s="49"/>
      <c r="J19" s="52">
        <f t="shared" si="0"/>
        <v>8849.1048593350388</v>
      </c>
      <c r="K19" s="54"/>
      <c r="L19" s="15">
        <v>32</v>
      </c>
      <c r="M19" s="15" t="s">
        <v>136</v>
      </c>
    </row>
    <row r="20" spans="1:13" ht="26.25" x14ac:dyDescent="0.4">
      <c r="A20" s="17"/>
      <c r="B20" s="15"/>
      <c r="C20" s="15"/>
      <c r="D20" s="15"/>
      <c r="E20" s="15"/>
      <c r="F20" s="15"/>
      <c r="G20" s="15"/>
      <c r="H20" s="16"/>
      <c r="I20" s="49"/>
      <c r="J20" s="52"/>
      <c r="K20" s="54"/>
      <c r="L20" s="15"/>
      <c r="M20" s="15"/>
    </row>
    <row r="21" spans="1:13" ht="26.25" x14ac:dyDescent="0.4">
      <c r="A21" s="36" t="s">
        <v>48</v>
      </c>
      <c r="B21" s="15" t="s">
        <v>145</v>
      </c>
      <c r="C21" s="15" t="s">
        <v>146</v>
      </c>
      <c r="D21" s="15">
        <v>1</v>
      </c>
      <c r="E21" s="15">
        <v>2186</v>
      </c>
      <c r="F21" s="15">
        <f>E21*D21</f>
        <v>2186</v>
      </c>
      <c r="G21" s="15">
        <v>1</v>
      </c>
      <c r="H21" s="16">
        <f>F21*G21</f>
        <v>2186</v>
      </c>
      <c r="I21" s="49"/>
      <c r="J21" s="52"/>
      <c r="K21" s="54">
        <f t="shared" si="1"/>
        <v>11181.585677749361</v>
      </c>
      <c r="L21" s="15">
        <v>32</v>
      </c>
      <c r="M21" s="15" t="s">
        <v>136</v>
      </c>
    </row>
    <row r="22" spans="1:13" ht="26.25" x14ac:dyDescent="0.4">
      <c r="A22" s="17"/>
      <c r="B22" s="15"/>
      <c r="C22" s="15"/>
      <c r="D22" s="15"/>
      <c r="E22" s="15"/>
      <c r="F22" s="15"/>
      <c r="G22" s="17"/>
      <c r="H22" s="16"/>
      <c r="I22" s="49"/>
      <c r="J22" s="52"/>
      <c r="K22" s="54"/>
      <c r="L22" s="15"/>
      <c r="M22" s="15"/>
    </row>
    <row r="23" spans="1:13" ht="26.25" x14ac:dyDescent="0.4">
      <c r="A23" s="38" t="s">
        <v>57</v>
      </c>
      <c r="B23" s="15" t="s">
        <v>145</v>
      </c>
      <c r="C23" s="15" t="s">
        <v>146</v>
      </c>
      <c r="D23" s="15">
        <v>1</v>
      </c>
      <c r="E23" s="15">
        <v>2186</v>
      </c>
      <c r="F23" s="15">
        <f>E23*D23</f>
        <v>2186</v>
      </c>
      <c r="G23" s="15">
        <v>1</v>
      </c>
      <c r="H23" s="16">
        <f>F23*G23</f>
        <v>2186</v>
      </c>
      <c r="I23" s="49">
        <f t="shared" si="2"/>
        <v>11181.585677749361</v>
      </c>
      <c r="J23" s="52"/>
      <c r="K23" s="54"/>
      <c r="L23" s="15">
        <v>32</v>
      </c>
      <c r="M23" s="15" t="s">
        <v>136</v>
      </c>
    </row>
    <row r="24" spans="1:13" ht="26.25" x14ac:dyDescent="0.4">
      <c r="A24" s="15"/>
      <c r="B24" s="15"/>
      <c r="C24" s="15"/>
      <c r="D24" s="15"/>
      <c r="E24" s="15"/>
      <c r="F24" s="15"/>
      <c r="G24" s="15"/>
      <c r="H24" s="16"/>
      <c r="I24" s="49"/>
      <c r="J24" s="52"/>
      <c r="K24" s="54"/>
      <c r="L24" s="15"/>
      <c r="M24" s="15"/>
    </row>
    <row r="25" spans="1:13" ht="26.25" x14ac:dyDescent="0.4">
      <c r="A25" s="37" t="s">
        <v>61</v>
      </c>
      <c r="B25" s="15" t="s">
        <v>145</v>
      </c>
      <c r="C25" s="15" t="s">
        <v>146</v>
      </c>
      <c r="D25" s="15">
        <v>1</v>
      </c>
      <c r="E25" s="15">
        <v>2186</v>
      </c>
      <c r="F25" s="15">
        <f>E25*D25</f>
        <v>2186</v>
      </c>
      <c r="G25" s="15">
        <v>1</v>
      </c>
      <c r="H25" s="16">
        <f>F25*G25</f>
        <v>2186</v>
      </c>
      <c r="I25" s="49"/>
      <c r="J25" s="52">
        <f t="shared" si="0"/>
        <v>11181.585677749361</v>
      </c>
      <c r="K25" s="54"/>
      <c r="L25" s="15">
        <v>32</v>
      </c>
      <c r="M25" s="15" t="s">
        <v>136</v>
      </c>
    </row>
    <row r="26" spans="1:13" ht="26.25" x14ac:dyDescent="0.4">
      <c r="A26" s="17"/>
      <c r="B26" s="15"/>
      <c r="C26" s="15"/>
      <c r="D26" s="15"/>
      <c r="E26" s="15"/>
      <c r="F26" s="15"/>
      <c r="G26" s="15"/>
      <c r="H26" s="16"/>
      <c r="I26" s="49"/>
      <c r="J26" s="52"/>
      <c r="K26" s="54"/>
      <c r="L26" s="15"/>
      <c r="M26" s="15"/>
    </row>
    <row r="27" spans="1:13" ht="26.25" x14ac:dyDescent="0.4">
      <c r="A27" s="36" t="s">
        <v>63</v>
      </c>
      <c r="B27" s="15" t="s">
        <v>121</v>
      </c>
      <c r="C27" s="15" t="s">
        <v>139</v>
      </c>
      <c r="D27" s="15">
        <v>1</v>
      </c>
      <c r="E27" s="15">
        <v>1090</v>
      </c>
      <c r="F27" s="15">
        <f t="shared" ref="F27" si="3">E27*D27</f>
        <v>1090</v>
      </c>
      <c r="G27" s="15">
        <v>1</v>
      </c>
      <c r="H27" s="16">
        <f t="shared" ref="H27" si="4">F27*G27</f>
        <v>1090</v>
      </c>
      <c r="I27" s="49"/>
      <c r="J27" s="52"/>
      <c r="K27" s="54">
        <f t="shared" si="1"/>
        <v>5575.4475703324806</v>
      </c>
      <c r="L27" s="15">
        <v>32</v>
      </c>
      <c r="M27" s="15" t="s">
        <v>136</v>
      </c>
    </row>
    <row r="28" spans="1:13" ht="26.25" x14ac:dyDescent="0.4">
      <c r="A28" s="15"/>
      <c r="B28" s="15"/>
      <c r="C28" s="15"/>
      <c r="D28" s="15"/>
      <c r="E28" s="15"/>
      <c r="F28" s="15"/>
      <c r="G28" s="15"/>
      <c r="H28" s="16"/>
      <c r="I28" s="49"/>
      <c r="J28" s="52"/>
      <c r="K28" s="54"/>
      <c r="L28" s="15"/>
      <c r="M28" s="15"/>
    </row>
    <row r="29" spans="1:13" ht="26.25" x14ac:dyDescent="0.4">
      <c r="A29" s="38" t="s">
        <v>64</v>
      </c>
      <c r="B29" s="15" t="s">
        <v>121</v>
      </c>
      <c r="C29" s="15" t="s">
        <v>139</v>
      </c>
      <c r="D29" s="15">
        <v>1</v>
      </c>
      <c r="E29" s="15">
        <v>1090</v>
      </c>
      <c r="F29" s="15">
        <f t="shared" ref="F29" si="5">E29*D29</f>
        <v>1090</v>
      </c>
      <c r="G29" s="15">
        <v>1</v>
      </c>
      <c r="H29" s="16">
        <f t="shared" ref="H29" si="6">F29*G29</f>
        <v>1090</v>
      </c>
      <c r="I29" s="49">
        <f t="shared" si="2"/>
        <v>5575.4475703324806</v>
      </c>
      <c r="J29" s="52"/>
      <c r="K29" s="54"/>
      <c r="L29" s="15">
        <v>32</v>
      </c>
      <c r="M29" s="15" t="s">
        <v>136</v>
      </c>
    </row>
    <row r="30" spans="1:13" ht="26.25" x14ac:dyDescent="0.4">
      <c r="A30" s="15"/>
      <c r="B30" s="15"/>
      <c r="C30" s="15"/>
      <c r="D30" s="15"/>
      <c r="E30" s="15"/>
      <c r="F30" s="15"/>
      <c r="G30" s="15"/>
      <c r="H30" s="16"/>
      <c r="I30" s="49"/>
      <c r="J30" s="52"/>
      <c r="K30" s="54"/>
      <c r="L30" s="15"/>
      <c r="M30" s="15"/>
    </row>
    <row r="31" spans="1:13" ht="26.25" x14ac:dyDescent="0.4">
      <c r="A31" s="37" t="s">
        <v>65</v>
      </c>
      <c r="B31" s="15" t="s">
        <v>121</v>
      </c>
      <c r="C31" s="15" t="s">
        <v>139</v>
      </c>
      <c r="D31" s="15">
        <v>1</v>
      </c>
      <c r="E31" s="15">
        <v>1090</v>
      </c>
      <c r="F31" s="15">
        <f t="shared" ref="F31" si="7">E31*D31</f>
        <v>1090</v>
      </c>
      <c r="G31" s="15">
        <v>1</v>
      </c>
      <c r="H31" s="16">
        <f t="shared" ref="H31" si="8">F31*G31</f>
        <v>1090</v>
      </c>
      <c r="I31" s="49"/>
      <c r="J31" s="52">
        <f t="shared" si="0"/>
        <v>5575.4475703324806</v>
      </c>
      <c r="K31" s="54"/>
      <c r="L31" s="15">
        <v>32</v>
      </c>
      <c r="M31" s="15" t="s">
        <v>136</v>
      </c>
    </row>
    <row r="32" spans="1:13" ht="26.25" x14ac:dyDescent="0.4">
      <c r="A32" s="17"/>
      <c r="B32" s="15"/>
      <c r="C32" s="15"/>
      <c r="D32" s="15"/>
      <c r="E32" s="15"/>
      <c r="F32" s="15"/>
      <c r="G32" s="15"/>
      <c r="H32" s="16"/>
      <c r="I32" s="49"/>
      <c r="J32" s="52"/>
      <c r="K32" s="54"/>
      <c r="L32" s="15"/>
      <c r="M32" s="15"/>
    </row>
    <row r="33" spans="1:13" ht="26.25" x14ac:dyDescent="0.4">
      <c r="A33" s="36" t="s">
        <v>66</v>
      </c>
      <c r="B33" s="15" t="s">
        <v>121</v>
      </c>
      <c r="C33" s="15" t="s">
        <v>139</v>
      </c>
      <c r="D33" s="15">
        <v>1</v>
      </c>
      <c r="E33" s="15">
        <v>1090</v>
      </c>
      <c r="F33" s="15">
        <f t="shared" ref="F33" si="9">E33*D33</f>
        <v>1090</v>
      </c>
      <c r="G33" s="15">
        <v>1</v>
      </c>
      <c r="H33" s="16">
        <f t="shared" ref="H33" si="10">F33*G33</f>
        <v>1090</v>
      </c>
      <c r="I33" s="49"/>
      <c r="J33" s="52"/>
      <c r="K33" s="54">
        <f t="shared" si="1"/>
        <v>5575.4475703324806</v>
      </c>
      <c r="L33" s="15">
        <v>32</v>
      </c>
      <c r="M33" s="15" t="s">
        <v>136</v>
      </c>
    </row>
    <row r="34" spans="1:13" ht="26.25" x14ac:dyDescent="0.4">
      <c r="A34" s="15"/>
      <c r="B34" s="15"/>
      <c r="C34" s="15"/>
      <c r="D34" s="15"/>
      <c r="E34" s="15"/>
      <c r="F34" s="15"/>
      <c r="G34" s="15"/>
      <c r="H34" s="16"/>
      <c r="I34" s="49"/>
      <c r="J34" s="52"/>
      <c r="K34" s="54"/>
      <c r="L34" s="15"/>
      <c r="M34" s="15"/>
    </row>
    <row r="35" spans="1:13" ht="26.25" x14ac:dyDescent="0.4">
      <c r="A35" s="38" t="s">
        <v>68</v>
      </c>
      <c r="B35" s="15" t="s">
        <v>131</v>
      </c>
      <c r="C35" s="15" t="s">
        <v>149</v>
      </c>
      <c r="D35" s="15">
        <v>1</v>
      </c>
      <c r="E35" s="15">
        <v>850</v>
      </c>
      <c r="F35" s="15">
        <f t="shared" ref="F35" si="11">E35*D35</f>
        <v>850</v>
      </c>
      <c r="G35" s="15">
        <v>1</v>
      </c>
      <c r="H35" s="16">
        <f t="shared" ref="H35" si="12">F35*G35</f>
        <v>850</v>
      </c>
      <c r="I35" s="49">
        <f t="shared" si="2"/>
        <v>4347.8260869565211</v>
      </c>
      <c r="J35" s="52"/>
      <c r="K35" s="54"/>
      <c r="L35" s="15">
        <v>32</v>
      </c>
      <c r="M35" s="15" t="s">
        <v>136</v>
      </c>
    </row>
    <row r="36" spans="1:13" ht="26.25" x14ac:dyDescent="0.4">
      <c r="A36" s="15"/>
      <c r="B36" s="15"/>
      <c r="C36" s="15"/>
      <c r="D36" s="15"/>
      <c r="E36" s="15"/>
      <c r="F36" s="15"/>
      <c r="G36" s="15"/>
      <c r="H36" s="16"/>
      <c r="I36" s="49"/>
      <c r="J36" s="52"/>
      <c r="K36" s="54"/>
      <c r="L36" s="15"/>
      <c r="M36" s="15"/>
    </row>
    <row r="37" spans="1:13" ht="26.25" x14ac:dyDescent="0.4">
      <c r="A37" s="37" t="s">
        <v>69</v>
      </c>
      <c r="B37" s="15" t="s">
        <v>122</v>
      </c>
      <c r="C37" s="15" t="s">
        <v>148</v>
      </c>
      <c r="D37" s="15">
        <v>1</v>
      </c>
      <c r="E37" s="15">
        <v>1730</v>
      </c>
      <c r="F37" s="15">
        <f t="shared" ref="F37" si="13">E37*D37</f>
        <v>1730</v>
      </c>
      <c r="G37" s="15">
        <v>1</v>
      </c>
      <c r="H37" s="16">
        <f t="shared" ref="H37" si="14">F37*G37</f>
        <v>1730</v>
      </c>
      <c r="I37" s="49"/>
      <c r="J37" s="52">
        <f>(H37/(230*0.85))*1000</f>
        <v>8849.1048593350388</v>
      </c>
      <c r="K37" s="54"/>
      <c r="L37" s="15">
        <v>32</v>
      </c>
      <c r="M37" s="15" t="s">
        <v>136</v>
      </c>
    </row>
    <row r="38" spans="1:13" ht="26.25" x14ac:dyDescent="0.4">
      <c r="A38" s="15"/>
      <c r="B38" s="15"/>
      <c r="C38" s="15"/>
      <c r="D38" s="15"/>
      <c r="E38" s="15"/>
      <c r="F38" s="15"/>
      <c r="G38" s="15"/>
      <c r="H38" s="16"/>
      <c r="I38" s="49"/>
      <c r="J38" s="52"/>
      <c r="K38" s="54"/>
      <c r="L38" s="15"/>
      <c r="M38" s="15"/>
    </row>
    <row r="39" spans="1:13" ht="26.25" x14ac:dyDescent="0.4">
      <c r="A39" s="36" t="s">
        <v>71</v>
      </c>
      <c r="B39" s="15" t="s">
        <v>118</v>
      </c>
      <c r="C39" s="15" t="s">
        <v>143</v>
      </c>
      <c r="D39" s="15">
        <v>1</v>
      </c>
      <c r="E39" s="15">
        <v>850</v>
      </c>
      <c r="F39" s="15">
        <f t="shared" ref="F39" si="15">E39*D39</f>
        <v>850</v>
      </c>
      <c r="G39" s="15">
        <v>1</v>
      </c>
      <c r="H39" s="16">
        <f t="shared" ref="H39" si="16">F39*G39</f>
        <v>850</v>
      </c>
      <c r="I39" s="49"/>
      <c r="J39" s="52"/>
      <c r="K39" s="54">
        <f t="shared" si="1"/>
        <v>4347.8260869565211</v>
      </c>
      <c r="L39" s="15">
        <v>32</v>
      </c>
      <c r="M39" s="15" t="s">
        <v>136</v>
      </c>
    </row>
    <row r="40" spans="1:13" ht="26.25" x14ac:dyDescent="0.4">
      <c r="A40" s="15"/>
      <c r="B40" s="15"/>
      <c r="C40" s="15"/>
      <c r="D40" s="15"/>
      <c r="E40" s="15"/>
      <c r="F40" s="15"/>
      <c r="G40" s="15"/>
      <c r="H40" s="16"/>
      <c r="I40" s="49"/>
      <c r="J40" s="52"/>
      <c r="K40" s="54"/>
      <c r="L40" s="15"/>
      <c r="M40" s="15"/>
    </row>
    <row r="41" spans="1:13" ht="26.25" x14ac:dyDescent="0.4">
      <c r="A41" s="38" t="s">
        <v>72</v>
      </c>
      <c r="B41" s="15" t="s">
        <v>130</v>
      </c>
      <c r="C41" s="15" t="s">
        <v>149</v>
      </c>
      <c r="D41" s="15">
        <v>1</v>
      </c>
      <c r="E41" s="15">
        <v>850</v>
      </c>
      <c r="F41" s="15">
        <f t="shared" ref="F41" si="17">E41*D41</f>
        <v>850</v>
      </c>
      <c r="G41" s="15">
        <v>1</v>
      </c>
      <c r="H41" s="16">
        <f t="shared" ref="H41" si="18">F41*G41</f>
        <v>850</v>
      </c>
      <c r="I41" s="49">
        <f t="shared" si="2"/>
        <v>4347.8260869565211</v>
      </c>
      <c r="J41" s="52"/>
      <c r="K41" s="54"/>
      <c r="L41" s="15">
        <v>32</v>
      </c>
      <c r="M41" s="15" t="s">
        <v>136</v>
      </c>
    </row>
    <row r="42" spans="1:13" ht="26.25" x14ac:dyDescent="0.4">
      <c r="A42" s="15"/>
      <c r="B42" s="15"/>
      <c r="C42" s="15"/>
      <c r="D42" s="15"/>
      <c r="E42" s="15"/>
      <c r="F42" s="15"/>
      <c r="G42" s="15"/>
      <c r="H42" s="16"/>
      <c r="I42" s="49"/>
      <c r="J42" s="52"/>
      <c r="K42" s="54"/>
      <c r="L42" s="15"/>
      <c r="M42" s="15"/>
    </row>
    <row r="43" spans="1:13" ht="26.25" x14ac:dyDescent="0.4">
      <c r="A43" s="36" t="s">
        <v>75</v>
      </c>
      <c r="B43" s="15" t="s">
        <v>118</v>
      </c>
      <c r="C43" s="15" t="s">
        <v>143</v>
      </c>
      <c r="D43" s="15">
        <v>1</v>
      </c>
      <c r="E43" s="15">
        <v>850</v>
      </c>
      <c r="F43" s="15">
        <f t="shared" ref="F43" si="19">E43*D43</f>
        <v>850</v>
      </c>
      <c r="G43" s="15">
        <v>1</v>
      </c>
      <c r="H43" s="16">
        <f t="shared" ref="H43" si="20">F43*G43</f>
        <v>850</v>
      </c>
      <c r="I43" s="49"/>
      <c r="J43" s="52"/>
      <c r="K43" s="54">
        <f t="shared" si="1"/>
        <v>4347.8260869565211</v>
      </c>
      <c r="L43" s="15">
        <v>32</v>
      </c>
      <c r="M43" s="15" t="s">
        <v>136</v>
      </c>
    </row>
    <row r="44" spans="1:13" ht="26.25" x14ac:dyDescent="0.4">
      <c r="A44" s="15"/>
      <c r="B44" s="15"/>
      <c r="C44" s="15"/>
      <c r="D44" s="15"/>
      <c r="E44" s="15"/>
      <c r="F44" s="15"/>
      <c r="G44" s="15"/>
      <c r="H44" s="16"/>
      <c r="I44" s="49"/>
      <c r="J44" s="52"/>
      <c r="K44" s="54"/>
      <c r="L44" s="15"/>
      <c r="M44" s="15"/>
    </row>
    <row r="45" spans="1:13" ht="26.25" x14ac:dyDescent="0.4">
      <c r="A45" s="17"/>
      <c r="B45" s="27"/>
      <c r="C45" s="27"/>
      <c r="D45" s="27">
        <f>SUM(D5:D43)</f>
        <v>20</v>
      </c>
      <c r="E45" s="27">
        <f>SUM(E5:E43)</f>
        <v>26088</v>
      </c>
      <c r="F45" s="27">
        <f>SUM(F5:F43)</f>
        <v>26088</v>
      </c>
      <c r="G45" s="27"/>
      <c r="H45" s="73">
        <f>SUM(H5:H43)</f>
        <v>26088</v>
      </c>
      <c r="I45" s="28">
        <f>SUM(I5:I42)</f>
        <v>44429.667519181581</v>
      </c>
      <c r="J45" s="29">
        <f>SUM(J5:J42)</f>
        <v>44583.120204603576</v>
      </c>
      <c r="K45" s="30">
        <f>SUM(K5:K43)</f>
        <v>44429.667519181581</v>
      </c>
      <c r="L45" s="17"/>
      <c r="M45" s="81"/>
    </row>
    <row r="46" spans="1:13" ht="26.25" x14ac:dyDescent="0.4">
      <c r="A46" s="74"/>
      <c r="B46" s="74"/>
      <c r="C46" s="71"/>
      <c r="D46" s="71"/>
      <c r="E46" s="71"/>
      <c r="F46" s="74"/>
      <c r="G46" s="74"/>
      <c r="H46" s="74"/>
      <c r="J46" s="74"/>
      <c r="K46" s="74"/>
      <c r="L46" s="74"/>
      <c r="M46" s="9"/>
    </row>
    <row r="47" spans="1:13" ht="26.25" x14ac:dyDescent="0.4">
      <c r="A47" s="74"/>
      <c r="B47" s="32"/>
      <c r="C47" s="75"/>
      <c r="D47" s="71"/>
      <c r="E47" s="71"/>
      <c r="F47" s="74"/>
      <c r="G47" s="185"/>
      <c r="H47" s="185"/>
      <c r="J47" s="32"/>
      <c r="K47" s="32"/>
      <c r="M47" s="9"/>
    </row>
    <row r="48" spans="1:13" ht="26.25" x14ac:dyDescent="0.4">
      <c r="B48" s="74"/>
      <c r="C48" s="71"/>
      <c r="D48" s="71"/>
      <c r="E48" s="71"/>
      <c r="F48" s="74"/>
      <c r="G48" s="74"/>
      <c r="H48" s="74"/>
      <c r="I48" s="74"/>
      <c r="J48" s="74"/>
      <c r="K48" s="74"/>
      <c r="L48" s="9"/>
    </row>
    <row r="49" spans="2:12" ht="26.25" x14ac:dyDescent="0.4">
      <c r="B49" s="74"/>
      <c r="C49" s="71"/>
      <c r="D49" s="71"/>
      <c r="E49" s="71"/>
      <c r="F49" s="74"/>
      <c r="G49" s="186"/>
      <c r="H49" s="186"/>
      <c r="I49" s="74"/>
      <c r="J49" s="74"/>
      <c r="K49" s="74"/>
      <c r="L49" s="9"/>
    </row>
    <row r="50" spans="2:12" ht="26.25" x14ac:dyDescent="0.4">
      <c r="C50" s="71"/>
      <c r="D50" s="71"/>
      <c r="E50" s="71"/>
      <c r="F50" s="187" t="s">
        <v>137</v>
      </c>
      <c r="G50" s="188"/>
      <c r="H50" s="189"/>
      <c r="I50" s="72"/>
      <c r="J50" s="72"/>
      <c r="K50" s="72"/>
      <c r="L50" s="9"/>
    </row>
    <row r="51" spans="2:12" ht="26.25" x14ac:dyDescent="0.4">
      <c r="C51" s="71"/>
      <c r="D51" s="71"/>
      <c r="E51" s="71"/>
      <c r="F51" s="182">
        <f>ROUNDUP(AVERAGE(I45:K45),2)</f>
        <v>44480.82</v>
      </c>
      <c r="G51" s="183"/>
      <c r="H51" s="184"/>
      <c r="I51" s="72">
        <f>ROUNDUP(((I45-F51)/F51)*100,2)</f>
        <v>-0.12</v>
      </c>
      <c r="J51" s="72">
        <f>ROUNDUP(ABS(((J45-F51)/F51)*100),2)</f>
        <v>0.23</v>
      </c>
      <c r="K51" s="72">
        <f>ABS(ROUNDUP(((K45-F51)/F51)*100,2))</f>
        <v>0.12</v>
      </c>
    </row>
  </sheetData>
  <mergeCells count="9">
    <mergeCell ref="A1:M1"/>
    <mergeCell ref="A2:M2"/>
    <mergeCell ref="F51:H51"/>
    <mergeCell ref="A3:A4"/>
    <mergeCell ref="B3:C3"/>
    <mergeCell ref="D3:D4"/>
    <mergeCell ref="G47:H47"/>
    <mergeCell ref="G49:H49"/>
    <mergeCell ref="F50:H50"/>
  </mergeCells>
  <pageMargins left="0.7" right="0.7" top="0.75" bottom="0.75" header="0.3" footer="0.3"/>
  <pageSetup paperSize="12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DA1E-C793-4A44-AD32-F4FFEEE5CF7E}">
  <sheetPr>
    <pageSetUpPr fitToPage="1"/>
  </sheetPr>
  <dimension ref="A1:M92"/>
  <sheetViews>
    <sheetView topLeftCell="A59" zoomScale="55" zoomScaleNormal="55" workbookViewId="0">
      <selection activeCell="I7" sqref="I7"/>
    </sheetView>
  </sheetViews>
  <sheetFormatPr defaultRowHeight="15.75" x14ac:dyDescent="0.25"/>
  <cols>
    <col min="1" max="1" width="18.125" style="44" bestFit="1" customWidth="1"/>
    <col min="2" max="2" width="46" style="44" bestFit="1" customWidth="1"/>
    <col min="3" max="3" width="69.5" style="44" bestFit="1" customWidth="1"/>
    <col min="4" max="4" width="8.75" style="44" bestFit="1" customWidth="1"/>
    <col min="5" max="5" width="18.75" style="44" bestFit="1" customWidth="1"/>
    <col min="6" max="6" width="27" style="44" bestFit="1" customWidth="1"/>
    <col min="7" max="7" width="15.375" style="44" bestFit="1" customWidth="1"/>
    <col min="8" max="8" width="19.625" style="44" bestFit="1" customWidth="1"/>
    <col min="9" max="11" width="23.5" style="44" bestFit="1" customWidth="1"/>
    <col min="12" max="12" width="25.75" style="44" bestFit="1" customWidth="1"/>
    <col min="13" max="13" width="18.125" style="44" bestFit="1" customWidth="1"/>
    <col min="14" max="16384" width="9" style="44"/>
  </cols>
  <sheetData>
    <row r="1" spans="1:13" ht="25.5" x14ac:dyDescent="0.25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</row>
    <row r="2" spans="1:13" ht="25.5" x14ac:dyDescent="0.25">
      <c r="A2" s="148" t="s">
        <v>187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</row>
    <row r="3" spans="1:13" ht="25.5" x14ac:dyDescent="0.35">
      <c r="A3" s="151" t="s">
        <v>188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</row>
    <row r="4" spans="1:13" ht="25.5" x14ac:dyDescent="0.35">
      <c r="A4" s="149" t="s">
        <v>2</v>
      </c>
      <c r="B4" s="150" t="s">
        <v>3</v>
      </c>
      <c r="C4" s="150"/>
      <c r="D4" s="150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</row>
    <row r="5" spans="1:13" ht="25.5" x14ac:dyDescent="0.35">
      <c r="A5" s="149"/>
      <c r="B5" s="4" t="s">
        <v>12</v>
      </c>
      <c r="C5" s="4" t="s">
        <v>13</v>
      </c>
      <c r="D5" s="150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</row>
    <row r="6" spans="1:13" ht="26.25" x14ac:dyDescent="0.4">
      <c r="A6" s="144" t="s">
        <v>23</v>
      </c>
      <c r="B6" s="17" t="s">
        <v>138</v>
      </c>
      <c r="C6" s="17" t="s">
        <v>152</v>
      </c>
      <c r="D6" s="15">
        <v>4</v>
      </c>
      <c r="E6" s="15">
        <f>(36+6)*2</f>
        <v>84</v>
      </c>
      <c r="F6" s="15">
        <f>E6*D6</f>
        <v>336</v>
      </c>
      <c r="G6" s="15">
        <v>0.8</v>
      </c>
      <c r="H6" s="16">
        <f>F6*G6</f>
        <v>268.8</v>
      </c>
      <c r="I6" s="49">
        <f>(H6/(230*0.85))*1000</f>
        <v>1374.9360613810741</v>
      </c>
      <c r="J6" s="50"/>
      <c r="K6" s="53"/>
      <c r="L6" s="145">
        <v>6</v>
      </c>
      <c r="M6" s="145" t="s">
        <v>26</v>
      </c>
    </row>
    <row r="7" spans="1:13" ht="26.25" x14ac:dyDescent="0.4">
      <c r="A7" s="144"/>
      <c r="B7" s="17" t="s">
        <v>140</v>
      </c>
      <c r="C7" s="17" t="s">
        <v>152</v>
      </c>
      <c r="D7" s="15">
        <v>4</v>
      </c>
      <c r="E7" s="15">
        <f t="shared" ref="E7:E15" si="0">(36+6)*2</f>
        <v>84</v>
      </c>
      <c r="F7" s="15">
        <f>E7*D7</f>
        <v>336</v>
      </c>
      <c r="G7" s="15">
        <v>0.8</v>
      </c>
      <c r="H7" s="16">
        <f>F7*G7</f>
        <v>268.8</v>
      </c>
      <c r="I7" s="49">
        <f t="shared" ref="I7:I70" si="1">(H7/(230*0.85))*1000</f>
        <v>1374.9360613810741</v>
      </c>
      <c r="J7" s="50"/>
      <c r="K7" s="53"/>
      <c r="L7" s="145"/>
      <c r="M7" s="145"/>
    </row>
    <row r="8" spans="1:13" ht="26.25" x14ac:dyDescent="0.4">
      <c r="A8" s="144"/>
      <c r="B8" s="17" t="s">
        <v>155</v>
      </c>
      <c r="C8" s="17" t="s">
        <v>156</v>
      </c>
      <c r="D8" s="15">
        <v>2</v>
      </c>
      <c r="E8" s="15">
        <f>(36+6)</f>
        <v>42</v>
      </c>
      <c r="F8" s="15">
        <f t="shared" ref="F8:F79" si="2">E8*D8</f>
        <v>84</v>
      </c>
      <c r="G8" s="15">
        <v>0.8</v>
      </c>
      <c r="H8" s="16">
        <f t="shared" ref="H8:H79" si="3">F8*G8</f>
        <v>67.2</v>
      </c>
      <c r="I8" s="49">
        <f t="shared" si="1"/>
        <v>343.73401534526852</v>
      </c>
      <c r="J8" s="50"/>
      <c r="K8" s="53"/>
      <c r="L8" s="145"/>
      <c r="M8" s="145"/>
    </row>
    <row r="9" spans="1:13" ht="26.25" x14ac:dyDescent="0.4">
      <c r="A9" s="15"/>
      <c r="B9" s="17"/>
      <c r="C9" s="15"/>
      <c r="D9" s="15"/>
      <c r="E9" s="15"/>
      <c r="F9" s="15"/>
      <c r="G9" s="15"/>
      <c r="H9" s="16"/>
      <c r="I9" s="49"/>
      <c r="J9" s="50"/>
      <c r="K9" s="53"/>
      <c r="L9" s="15"/>
      <c r="M9" s="15"/>
    </row>
    <row r="10" spans="1:13" ht="26.25" x14ac:dyDescent="0.4">
      <c r="A10" s="147" t="s">
        <v>29</v>
      </c>
      <c r="B10" s="17" t="s">
        <v>141</v>
      </c>
      <c r="C10" s="17" t="s">
        <v>157</v>
      </c>
      <c r="D10" s="15">
        <v>6</v>
      </c>
      <c r="E10" s="15">
        <f t="shared" si="0"/>
        <v>84</v>
      </c>
      <c r="F10" s="15">
        <f t="shared" si="2"/>
        <v>504</v>
      </c>
      <c r="G10" s="15">
        <v>0.8</v>
      </c>
      <c r="H10" s="16">
        <f t="shared" si="3"/>
        <v>403.20000000000005</v>
      </c>
      <c r="I10" s="49"/>
      <c r="J10" s="50">
        <f t="shared" ref="J10:J63" si="4">(H10/(230*0.85))*1000</f>
        <v>2062.4040920716116</v>
      </c>
      <c r="K10" s="53"/>
      <c r="L10" s="145">
        <v>6</v>
      </c>
      <c r="M10" s="145" t="s">
        <v>26</v>
      </c>
    </row>
    <row r="11" spans="1:13" ht="26.25" x14ac:dyDescent="0.4">
      <c r="A11" s="147"/>
      <c r="B11" s="17" t="s">
        <v>158</v>
      </c>
      <c r="C11" s="17" t="s">
        <v>156</v>
      </c>
      <c r="D11" s="15">
        <v>1</v>
      </c>
      <c r="E11" s="15">
        <f t="shared" ref="E11:E13" si="5">(36+6)</f>
        <v>42</v>
      </c>
      <c r="F11" s="15">
        <f t="shared" si="2"/>
        <v>42</v>
      </c>
      <c r="G11" s="15">
        <v>0.8</v>
      </c>
      <c r="H11" s="16">
        <f t="shared" si="3"/>
        <v>33.6</v>
      </c>
      <c r="I11" s="49"/>
      <c r="J11" s="50">
        <f t="shared" si="4"/>
        <v>171.86700767263426</v>
      </c>
      <c r="K11" s="53"/>
      <c r="L11" s="145"/>
      <c r="M11" s="145"/>
    </row>
    <row r="12" spans="1:13" ht="26.25" x14ac:dyDescent="0.4">
      <c r="A12" s="147"/>
      <c r="B12" s="17" t="s">
        <v>160</v>
      </c>
      <c r="C12" s="17" t="s">
        <v>156</v>
      </c>
      <c r="D12" s="15">
        <v>1</v>
      </c>
      <c r="E12" s="15">
        <f t="shared" si="5"/>
        <v>42</v>
      </c>
      <c r="F12" s="15">
        <f t="shared" si="2"/>
        <v>42</v>
      </c>
      <c r="G12" s="15">
        <v>0.8</v>
      </c>
      <c r="H12" s="16">
        <f t="shared" si="3"/>
        <v>33.6</v>
      </c>
      <c r="I12" s="49"/>
      <c r="J12" s="50">
        <f t="shared" si="4"/>
        <v>171.86700767263426</v>
      </c>
      <c r="K12" s="53"/>
      <c r="L12" s="145"/>
      <c r="M12" s="145"/>
    </row>
    <row r="13" spans="1:13" ht="26.25" x14ac:dyDescent="0.4">
      <c r="A13" s="147"/>
      <c r="B13" s="17" t="s">
        <v>159</v>
      </c>
      <c r="C13" s="17" t="s">
        <v>156</v>
      </c>
      <c r="D13" s="17">
        <v>2</v>
      </c>
      <c r="E13" s="15">
        <f t="shared" si="5"/>
        <v>42</v>
      </c>
      <c r="F13" s="15">
        <f t="shared" si="2"/>
        <v>84</v>
      </c>
      <c r="G13" s="15">
        <v>0.8</v>
      </c>
      <c r="H13" s="16">
        <f t="shared" si="3"/>
        <v>67.2</v>
      </c>
      <c r="I13" s="49"/>
      <c r="J13" s="50">
        <f t="shared" si="4"/>
        <v>343.73401534526852</v>
      </c>
      <c r="K13" s="53"/>
      <c r="L13" s="15"/>
      <c r="M13" s="15"/>
    </row>
    <row r="14" spans="1:13" ht="26.25" x14ac:dyDescent="0.4">
      <c r="A14" s="17"/>
      <c r="B14" s="17"/>
      <c r="C14" s="17"/>
      <c r="D14" s="17"/>
      <c r="E14" s="17"/>
      <c r="F14" s="15"/>
      <c r="G14" s="15"/>
      <c r="H14" s="16"/>
      <c r="I14" s="49"/>
      <c r="J14" s="50"/>
      <c r="K14" s="53"/>
      <c r="L14" s="15"/>
      <c r="M14" s="15"/>
    </row>
    <row r="15" spans="1:13" ht="26.25" x14ac:dyDescent="0.4">
      <c r="A15" s="146" t="s">
        <v>31</v>
      </c>
      <c r="B15" s="17" t="s">
        <v>114</v>
      </c>
      <c r="C15" s="17" t="s">
        <v>157</v>
      </c>
      <c r="D15" s="15">
        <v>6</v>
      </c>
      <c r="E15" s="15">
        <f t="shared" si="0"/>
        <v>84</v>
      </c>
      <c r="F15" s="15">
        <f t="shared" si="2"/>
        <v>504</v>
      </c>
      <c r="G15" s="15">
        <v>0.8</v>
      </c>
      <c r="H15" s="16">
        <f t="shared" si="3"/>
        <v>403.20000000000005</v>
      </c>
      <c r="I15" s="49"/>
      <c r="J15" s="50"/>
      <c r="K15" s="53">
        <f t="shared" ref="K15:K68" si="6">(H15/(230*0.85))*1000</f>
        <v>2062.4040920716116</v>
      </c>
      <c r="L15" s="145">
        <v>6</v>
      </c>
      <c r="M15" s="145" t="s">
        <v>26</v>
      </c>
    </row>
    <row r="16" spans="1:13" ht="26.25" x14ac:dyDescent="0.4">
      <c r="A16" s="146"/>
      <c r="B16" s="17" t="s">
        <v>186</v>
      </c>
      <c r="C16" s="17" t="s">
        <v>156</v>
      </c>
      <c r="D16" s="15">
        <v>2</v>
      </c>
      <c r="E16" s="15">
        <v>42</v>
      </c>
      <c r="F16" s="15">
        <f t="shared" ref="F16" si="7">E16*D16</f>
        <v>84</v>
      </c>
      <c r="G16" s="15">
        <v>0.8</v>
      </c>
      <c r="H16" s="16">
        <f t="shared" ref="H16" si="8">F16*G16</f>
        <v>67.2</v>
      </c>
      <c r="I16" s="49"/>
      <c r="J16" s="50"/>
      <c r="K16" s="53">
        <f t="shared" si="6"/>
        <v>343.73401534526852</v>
      </c>
      <c r="L16" s="145"/>
      <c r="M16" s="145"/>
    </row>
    <row r="17" spans="1:13" ht="26.25" x14ac:dyDescent="0.4">
      <c r="A17" s="146"/>
      <c r="B17" s="17" t="s">
        <v>185</v>
      </c>
      <c r="C17" s="17" t="s">
        <v>156</v>
      </c>
      <c r="D17" s="15">
        <v>2</v>
      </c>
      <c r="E17" s="15">
        <v>42</v>
      </c>
      <c r="F17" s="15">
        <f t="shared" si="2"/>
        <v>84</v>
      </c>
      <c r="G17" s="15">
        <v>0.8</v>
      </c>
      <c r="H17" s="16">
        <f t="shared" si="3"/>
        <v>67.2</v>
      </c>
      <c r="I17" s="49"/>
      <c r="J17" s="50"/>
      <c r="K17" s="53">
        <f t="shared" si="6"/>
        <v>343.73401534526852</v>
      </c>
      <c r="L17" s="145"/>
      <c r="M17" s="145"/>
    </row>
    <row r="18" spans="1:13" ht="26.25" x14ac:dyDescent="0.4">
      <c r="A18" s="17"/>
      <c r="B18" s="17"/>
      <c r="C18" s="17"/>
      <c r="D18" s="17"/>
      <c r="E18" s="17"/>
      <c r="F18" s="15"/>
      <c r="G18" s="15"/>
      <c r="H18" s="16"/>
      <c r="I18" s="49"/>
      <c r="J18" s="50"/>
      <c r="K18" s="53"/>
      <c r="L18" s="15"/>
      <c r="M18" s="15"/>
    </row>
    <row r="19" spans="1:13" ht="26.25" x14ac:dyDescent="0.4">
      <c r="A19" s="144" t="s">
        <v>34</v>
      </c>
      <c r="B19" s="17" t="s">
        <v>116</v>
      </c>
      <c r="C19" s="17" t="s">
        <v>157</v>
      </c>
      <c r="D19" s="15">
        <v>4</v>
      </c>
      <c r="E19" s="15">
        <v>84</v>
      </c>
      <c r="F19" s="15">
        <f t="shared" si="2"/>
        <v>336</v>
      </c>
      <c r="G19" s="15">
        <v>0.8</v>
      </c>
      <c r="H19" s="16">
        <f t="shared" si="3"/>
        <v>268.8</v>
      </c>
      <c r="I19" s="49">
        <f t="shared" si="1"/>
        <v>1374.9360613810741</v>
      </c>
      <c r="J19" s="50"/>
      <c r="K19" s="53"/>
      <c r="L19" s="145">
        <v>6</v>
      </c>
      <c r="M19" s="145" t="s">
        <v>26</v>
      </c>
    </row>
    <row r="20" spans="1:13" ht="26.25" x14ac:dyDescent="0.4">
      <c r="A20" s="144"/>
      <c r="B20" s="17" t="s">
        <v>171</v>
      </c>
      <c r="C20" s="17" t="s">
        <v>156</v>
      </c>
      <c r="D20" s="15">
        <v>1</v>
      </c>
      <c r="E20" s="15">
        <v>42</v>
      </c>
      <c r="F20" s="15">
        <f t="shared" ref="F20" si="9">E20*D20</f>
        <v>42</v>
      </c>
      <c r="G20" s="15">
        <v>0.8</v>
      </c>
      <c r="H20" s="16">
        <f t="shared" ref="H20" si="10">F20*G20</f>
        <v>33.6</v>
      </c>
      <c r="I20" s="49">
        <f t="shared" si="1"/>
        <v>171.86700767263426</v>
      </c>
      <c r="J20" s="50"/>
      <c r="K20" s="53"/>
      <c r="L20" s="145"/>
      <c r="M20" s="145"/>
    </row>
    <row r="21" spans="1:13" ht="26.25" x14ac:dyDescent="0.4">
      <c r="A21" s="144"/>
      <c r="B21" s="17" t="s">
        <v>120</v>
      </c>
      <c r="C21" s="17" t="s">
        <v>157</v>
      </c>
      <c r="D21" s="15">
        <v>4</v>
      </c>
      <c r="E21" s="15">
        <f t="shared" ref="E21" si="11">(36+6)*2</f>
        <v>84</v>
      </c>
      <c r="F21" s="15">
        <f t="shared" si="2"/>
        <v>336</v>
      </c>
      <c r="G21" s="15">
        <v>0.8</v>
      </c>
      <c r="H21" s="16">
        <f t="shared" si="3"/>
        <v>268.8</v>
      </c>
      <c r="I21" s="49">
        <f t="shared" si="1"/>
        <v>1374.9360613810741</v>
      </c>
      <c r="J21" s="50"/>
      <c r="K21" s="53"/>
      <c r="L21" s="145"/>
      <c r="M21" s="145"/>
    </row>
    <row r="22" spans="1:13" ht="26.25" x14ac:dyDescent="0.4">
      <c r="A22" s="144"/>
      <c r="B22" s="17" t="s">
        <v>162</v>
      </c>
      <c r="C22" s="17" t="s">
        <v>156</v>
      </c>
      <c r="D22" s="15">
        <v>1</v>
      </c>
      <c r="E22" s="15">
        <v>42</v>
      </c>
      <c r="F22" s="15">
        <f t="shared" si="2"/>
        <v>42</v>
      </c>
      <c r="G22" s="15">
        <v>0.8</v>
      </c>
      <c r="H22" s="16">
        <f t="shared" si="3"/>
        <v>33.6</v>
      </c>
      <c r="I22" s="49">
        <f t="shared" si="1"/>
        <v>171.86700767263426</v>
      </c>
      <c r="J22" s="50"/>
      <c r="K22" s="53"/>
      <c r="L22" s="145"/>
      <c r="M22" s="145"/>
    </row>
    <row r="23" spans="1:13" ht="26.25" x14ac:dyDescent="0.4">
      <c r="A23" s="17"/>
      <c r="B23" s="17"/>
      <c r="C23" s="17"/>
      <c r="D23" s="17"/>
      <c r="E23" s="17"/>
      <c r="F23" s="15"/>
      <c r="G23" s="15"/>
      <c r="H23" s="16"/>
      <c r="I23" s="49"/>
      <c r="J23" s="50"/>
      <c r="K23" s="53"/>
      <c r="L23" s="15"/>
      <c r="M23" s="15"/>
    </row>
    <row r="24" spans="1:13" ht="26.25" x14ac:dyDescent="0.4">
      <c r="A24" s="147" t="s">
        <v>36</v>
      </c>
      <c r="B24" s="17" t="s">
        <v>119</v>
      </c>
      <c r="C24" s="17" t="s">
        <v>157</v>
      </c>
      <c r="D24" s="15">
        <v>4</v>
      </c>
      <c r="E24" s="15">
        <v>84</v>
      </c>
      <c r="F24" s="15">
        <f t="shared" si="2"/>
        <v>336</v>
      </c>
      <c r="G24" s="15">
        <v>0.8</v>
      </c>
      <c r="H24" s="16">
        <f t="shared" si="3"/>
        <v>268.8</v>
      </c>
      <c r="I24" s="49"/>
      <c r="J24" s="50">
        <f t="shared" si="4"/>
        <v>1374.9360613810741</v>
      </c>
      <c r="K24" s="53"/>
      <c r="L24" s="145">
        <v>6</v>
      </c>
      <c r="M24" s="145" t="s">
        <v>26</v>
      </c>
    </row>
    <row r="25" spans="1:13" ht="26.25" x14ac:dyDescent="0.4">
      <c r="A25" s="147"/>
      <c r="B25" s="17" t="s">
        <v>122</v>
      </c>
      <c r="C25" s="17" t="s">
        <v>156</v>
      </c>
      <c r="D25" s="15">
        <v>4</v>
      </c>
      <c r="E25" s="15">
        <v>42</v>
      </c>
      <c r="F25" s="15">
        <f t="shared" si="2"/>
        <v>168</v>
      </c>
      <c r="G25" s="15">
        <v>0.8</v>
      </c>
      <c r="H25" s="16">
        <f t="shared" si="3"/>
        <v>134.4</v>
      </c>
      <c r="I25" s="49"/>
      <c r="J25" s="50">
        <f t="shared" si="4"/>
        <v>687.46803069053703</v>
      </c>
      <c r="K25" s="53"/>
      <c r="L25" s="145"/>
      <c r="M25" s="145"/>
    </row>
    <row r="26" spans="1:13" ht="26.25" x14ac:dyDescent="0.4">
      <c r="A26" s="147"/>
      <c r="B26" s="17" t="s">
        <v>164</v>
      </c>
      <c r="C26" s="17" t="s">
        <v>156</v>
      </c>
      <c r="D26" s="15">
        <v>1</v>
      </c>
      <c r="E26" s="15">
        <v>42</v>
      </c>
      <c r="F26" s="15">
        <f t="shared" si="2"/>
        <v>42</v>
      </c>
      <c r="G26" s="15">
        <v>0.8</v>
      </c>
      <c r="H26" s="16">
        <f t="shared" si="3"/>
        <v>33.6</v>
      </c>
      <c r="I26" s="49"/>
      <c r="J26" s="50">
        <f t="shared" si="4"/>
        <v>171.86700767263426</v>
      </c>
      <c r="K26" s="53"/>
      <c r="L26" s="145"/>
      <c r="M26" s="145"/>
    </row>
    <row r="27" spans="1:13" ht="26.25" x14ac:dyDescent="0.4">
      <c r="A27" s="147"/>
      <c r="B27" s="17" t="s">
        <v>165</v>
      </c>
      <c r="C27" s="17" t="s">
        <v>156</v>
      </c>
      <c r="D27" s="15">
        <v>2</v>
      </c>
      <c r="E27" s="15">
        <v>42</v>
      </c>
      <c r="F27" s="15">
        <f t="shared" si="2"/>
        <v>84</v>
      </c>
      <c r="G27" s="15">
        <v>0.8</v>
      </c>
      <c r="H27" s="16">
        <f t="shared" si="3"/>
        <v>67.2</v>
      </c>
      <c r="I27" s="49"/>
      <c r="J27" s="50">
        <f t="shared" si="4"/>
        <v>343.73401534526852</v>
      </c>
      <c r="K27" s="53"/>
      <c r="L27" s="145"/>
      <c r="M27" s="145"/>
    </row>
    <row r="28" spans="1:13" ht="26.25" x14ac:dyDescent="0.4">
      <c r="A28" s="15"/>
      <c r="B28" s="17"/>
      <c r="C28" s="15"/>
      <c r="D28" s="15"/>
      <c r="E28" s="15"/>
      <c r="F28" s="15"/>
      <c r="G28" s="15"/>
      <c r="H28" s="16"/>
      <c r="I28" s="49"/>
      <c r="J28" s="50"/>
      <c r="K28" s="53"/>
      <c r="L28" s="15"/>
      <c r="M28" s="15"/>
    </row>
    <row r="29" spans="1:13" ht="26.25" x14ac:dyDescent="0.4">
      <c r="A29" s="146" t="s">
        <v>38</v>
      </c>
      <c r="B29" s="17" t="s">
        <v>144</v>
      </c>
      <c r="C29" s="17" t="s">
        <v>157</v>
      </c>
      <c r="D29" s="15">
        <v>6</v>
      </c>
      <c r="E29" s="15">
        <v>84</v>
      </c>
      <c r="F29" s="15">
        <f t="shared" si="2"/>
        <v>504</v>
      </c>
      <c r="G29" s="15">
        <v>0.8</v>
      </c>
      <c r="H29" s="16">
        <f t="shared" si="3"/>
        <v>403.20000000000005</v>
      </c>
      <c r="I29" s="49"/>
      <c r="J29" s="50"/>
      <c r="K29" s="53">
        <f t="shared" si="6"/>
        <v>2062.4040920716116</v>
      </c>
      <c r="L29" s="145">
        <v>6</v>
      </c>
      <c r="M29" s="145" t="s">
        <v>26</v>
      </c>
    </row>
    <row r="30" spans="1:13" ht="26.25" x14ac:dyDescent="0.4">
      <c r="A30" s="146"/>
      <c r="B30" s="17" t="s">
        <v>130</v>
      </c>
      <c r="C30" s="17" t="s">
        <v>157</v>
      </c>
      <c r="D30" s="15">
        <v>2</v>
      </c>
      <c r="E30" s="15">
        <v>84</v>
      </c>
      <c r="F30" s="15">
        <f t="shared" si="2"/>
        <v>168</v>
      </c>
      <c r="G30" s="15">
        <v>0.8</v>
      </c>
      <c r="H30" s="16">
        <f t="shared" si="3"/>
        <v>134.4</v>
      </c>
      <c r="I30" s="49"/>
      <c r="J30" s="50"/>
      <c r="K30" s="53">
        <f t="shared" si="6"/>
        <v>687.46803069053703</v>
      </c>
      <c r="L30" s="145"/>
      <c r="M30" s="145"/>
    </row>
    <row r="31" spans="1:13" ht="26.25" x14ac:dyDescent="0.4">
      <c r="A31" s="146"/>
      <c r="B31" s="17" t="s">
        <v>131</v>
      </c>
      <c r="C31" s="15" t="s">
        <v>157</v>
      </c>
      <c r="D31" s="15">
        <v>2</v>
      </c>
      <c r="E31" s="15">
        <v>84</v>
      </c>
      <c r="F31" s="15">
        <f t="shared" si="2"/>
        <v>168</v>
      </c>
      <c r="G31" s="15">
        <v>0.8</v>
      </c>
      <c r="H31" s="16">
        <f t="shared" si="3"/>
        <v>134.4</v>
      </c>
      <c r="I31" s="49"/>
      <c r="J31" s="50"/>
      <c r="K31" s="53">
        <f t="shared" si="6"/>
        <v>687.46803069053703</v>
      </c>
      <c r="L31" s="145"/>
      <c r="M31" s="145"/>
    </row>
    <row r="32" spans="1:13" ht="26.25" x14ac:dyDescent="0.4">
      <c r="A32" s="17"/>
      <c r="B32" s="17"/>
      <c r="C32" s="17"/>
      <c r="D32" s="17"/>
      <c r="E32" s="17"/>
      <c r="F32" s="15"/>
      <c r="G32" s="15"/>
      <c r="H32" s="16"/>
      <c r="I32" s="49"/>
      <c r="J32" s="50"/>
      <c r="K32" s="53"/>
      <c r="L32" s="15"/>
      <c r="M32" s="15"/>
    </row>
    <row r="33" spans="1:13" ht="26.25" x14ac:dyDescent="0.4">
      <c r="A33" s="38" t="s">
        <v>40</v>
      </c>
      <c r="B33" s="17" t="s">
        <v>166</v>
      </c>
      <c r="C33" s="17" t="s">
        <v>157</v>
      </c>
      <c r="D33" s="17">
        <v>10</v>
      </c>
      <c r="E33" s="15">
        <v>84</v>
      </c>
      <c r="F33" s="15">
        <f t="shared" si="2"/>
        <v>840</v>
      </c>
      <c r="G33" s="15">
        <v>0.8</v>
      </c>
      <c r="H33" s="16">
        <f t="shared" si="3"/>
        <v>672</v>
      </c>
      <c r="I33" s="49">
        <f t="shared" si="1"/>
        <v>3437.3401534526856</v>
      </c>
      <c r="J33" s="50"/>
      <c r="K33" s="53"/>
      <c r="L33" s="15">
        <v>6</v>
      </c>
      <c r="M33" s="15" t="s">
        <v>26</v>
      </c>
    </row>
    <row r="34" spans="1:13" ht="26.25" x14ac:dyDescent="0.4">
      <c r="A34" s="15"/>
      <c r="B34" s="17"/>
      <c r="C34" s="15"/>
      <c r="D34" s="15"/>
      <c r="E34" s="15"/>
      <c r="F34" s="15"/>
      <c r="G34" s="15"/>
      <c r="H34" s="16"/>
      <c r="I34" s="49"/>
      <c r="J34" s="50"/>
      <c r="K34" s="53"/>
      <c r="L34" s="15"/>
      <c r="M34" s="15"/>
    </row>
    <row r="35" spans="1:13" ht="26.25" x14ac:dyDescent="0.4">
      <c r="A35" s="37" t="s">
        <v>43</v>
      </c>
      <c r="B35" s="17" t="s">
        <v>121</v>
      </c>
      <c r="C35" s="17" t="s">
        <v>157</v>
      </c>
      <c r="D35" s="17">
        <v>10</v>
      </c>
      <c r="E35" s="15">
        <v>84</v>
      </c>
      <c r="F35" s="15">
        <f t="shared" si="2"/>
        <v>840</v>
      </c>
      <c r="G35" s="15">
        <v>0.8</v>
      </c>
      <c r="H35" s="16">
        <f t="shared" si="3"/>
        <v>672</v>
      </c>
      <c r="I35" s="49"/>
      <c r="J35" s="50">
        <f t="shared" si="4"/>
        <v>3437.3401534526856</v>
      </c>
      <c r="K35" s="53"/>
      <c r="L35" s="15">
        <v>6</v>
      </c>
      <c r="M35" s="15" t="s">
        <v>26</v>
      </c>
    </row>
    <row r="36" spans="1:13" ht="26.25" x14ac:dyDescent="0.4">
      <c r="A36" s="17"/>
      <c r="B36" s="17"/>
      <c r="C36" s="17"/>
      <c r="D36" s="17"/>
      <c r="E36" s="17"/>
      <c r="F36" s="15"/>
      <c r="G36" s="15"/>
      <c r="H36" s="16"/>
      <c r="I36" s="49"/>
      <c r="J36" s="50"/>
      <c r="K36" s="53"/>
      <c r="L36" s="15"/>
      <c r="M36" s="15"/>
    </row>
    <row r="37" spans="1:13" ht="26.25" x14ac:dyDescent="0.4">
      <c r="A37" s="146" t="s">
        <v>48</v>
      </c>
      <c r="B37" s="17" t="s">
        <v>118</v>
      </c>
      <c r="C37" s="17" t="s">
        <v>157</v>
      </c>
      <c r="D37" s="15">
        <v>6</v>
      </c>
      <c r="E37" s="15">
        <v>84</v>
      </c>
      <c r="F37" s="15">
        <f t="shared" si="2"/>
        <v>504</v>
      </c>
      <c r="G37" s="15">
        <v>0.8</v>
      </c>
      <c r="H37" s="16">
        <f t="shared" si="3"/>
        <v>403.20000000000005</v>
      </c>
      <c r="I37" s="49"/>
      <c r="J37" s="50"/>
      <c r="K37" s="53">
        <f t="shared" si="6"/>
        <v>2062.4040920716116</v>
      </c>
      <c r="L37" s="145">
        <v>6</v>
      </c>
      <c r="M37" s="145" t="s">
        <v>26</v>
      </c>
    </row>
    <row r="38" spans="1:13" ht="26.25" x14ac:dyDescent="0.4">
      <c r="A38" s="146"/>
      <c r="B38" s="17" t="s">
        <v>167</v>
      </c>
      <c r="C38" s="17" t="s">
        <v>156</v>
      </c>
      <c r="D38" s="15">
        <v>2</v>
      </c>
      <c r="E38" s="15">
        <v>42</v>
      </c>
      <c r="F38" s="15">
        <f t="shared" si="2"/>
        <v>84</v>
      </c>
      <c r="G38" s="15">
        <v>0.8</v>
      </c>
      <c r="H38" s="16">
        <f t="shared" si="3"/>
        <v>67.2</v>
      </c>
      <c r="I38" s="49"/>
      <c r="J38" s="50"/>
      <c r="K38" s="53">
        <f t="shared" si="6"/>
        <v>343.73401534526852</v>
      </c>
      <c r="L38" s="145"/>
      <c r="M38" s="145"/>
    </row>
    <row r="39" spans="1:13" ht="26.25" x14ac:dyDescent="0.4">
      <c r="A39" s="146"/>
      <c r="B39" s="17" t="s">
        <v>168</v>
      </c>
      <c r="C39" s="17" t="s">
        <v>156</v>
      </c>
      <c r="D39" s="15">
        <v>2</v>
      </c>
      <c r="E39" s="15">
        <v>42</v>
      </c>
      <c r="F39" s="15">
        <f t="shared" si="2"/>
        <v>84</v>
      </c>
      <c r="G39" s="15">
        <v>0.8</v>
      </c>
      <c r="H39" s="16">
        <f t="shared" si="3"/>
        <v>67.2</v>
      </c>
      <c r="I39" s="49"/>
      <c r="J39" s="50"/>
      <c r="K39" s="53">
        <f t="shared" si="6"/>
        <v>343.73401534526852</v>
      </c>
      <c r="L39" s="145"/>
      <c r="M39" s="145"/>
    </row>
    <row r="40" spans="1:13" ht="26.25" x14ac:dyDescent="0.4">
      <c r="A40" s="17"/>
      <c r="B40" s="17"/>
      <c r="C40" s="17"/>
      <c r="D40" s="17"/>
      <c r="E40" s="17"/>
      <c r="F40" s="15"/>
      <c r="G40" s="15"/>
      <c r="H40" s="16"/>
      <c r="I40" s="49"/>
      <c r="J40" s="50"/>
      <c r="K40" s="53"/>
      <c r="L40" s="15"/>
      <c r="M40" s="15"/>
    </row>
    <row r="41" spans="1:13" ht="26.25" x14ac:dyDescent="0.4">
      <c r="A41" s="144" t="s">
        <v>57</v>
      </c>
      <c r="B41" s="17" t="s">
        <v>117</v>
      </c>
      <c r="C41" s="17" t="s">
        <v>156</v>
      </c>
      <c r="D41" s="15">
        <v>6</v>
      </c>
      <c r="E41" s="15">
        <v>42</v>
      </c>
      <c r="F41" s="15">
        <f t="shared" si="2"/>
        <v>252</v>
      </c>
      <c r="G41" s="15">
        <v>0.8</v>
      </c>
      <c r="H41" s="16">
        <f t="shared" si="3"/>
        <v>201.60000000000002</v>
      </c>
      <c r="I41" s="49">
        <f t="shared" si="1"/>
        <v>1031.2020460358058</v>
      </c>
      <c r="J41" s="50"/>
      <c r="K41" s="53"/>
      <c r="L41" s="145">
        <v>6</v>
      </c>
      <c r="M41" s="145" t="s">
        <v>26</v>
      </c>
    </row>
    <row r="42" spans="1:13" ht="26.25" x14ac:dyDescent="0.4">
      <c r="A42" s="144"/>
      <c r="B42" s="17" t="s">
        <v>132</v>
      </c>
      <c r="C42" s="17" t="s">
        <v>156</v>
      </c>
      <c r="D42" s="15">
        <v>2</v>
      </c>
      <c r="E42" s="15">
        <v>42</v>
      </c>
      <c r="F42" s="15">
        <f t="shared" si="2"/>
        <v>84</v>
      </c>
      <c r="G42" s="15">
        <v>0.8</v>
      </c>
      <c r="H42" s="16">
        <f t="shared" si="3"/>
        <v>67.2</v>
      </c>
      <c r="I42" s="49">
        <f t="shared" si="1"/>
        <v>343.73401534526852</v>
      </c>
      <c r="J42" s="50"/>
      <c r="K42" s="53"/>
      <c r="L42" s="145"/>
      <c r="M42" s="145"/>
    </row>
    <row r="43" spans="1:13" ht="26.25" x14ac:dyDescent="0.4">
      <c r="A43" s="144"/>
      <c r="B43" s="17" t="s">
        <v>169</v>
      </c>
      <c r="C43" s="17" t="s">
        <v>156</v>
      </c>
      <c r="D43" s="15">
        <v>2</v>
      </c>
      <c r="E43" s="15">
        <v>42</v>
      </c>
      <c r="F43" s="15">
        <f t="shared" si="2"/>
        <v>84</v>
      </c>
      <c r="G43" s="15">
        <v>0.8</v>
      </c>
      <c r="H43" s="16">
        <f t="shared" si="3"/>
        <v>67.2</v>
      </c>
      <c r="I43" s="49">
        <f t="shared" si="1"/>
        <v>343.73401534526852</v>
      </c>
      <c r="J43" s="50"/>
      <c r="K43" s="53"/>
      <c r="L43" s="145"/>
      <c r="M43" s="145"/>
    </row>
    <row r="44" spans="1:13" ht="26.25" x14ac:dyDescent="0.4">
      <c r="A44" s="17"/>
      <c r="B44" s="17"/>
      <c r="C44" s="17"/>
      <c r="D44" s="17"/>
      <c r="E44" s="17"/>
      <c r="F44" s="15"/>
      <c r="G44" s="15"/>
      <c r="H44" s="16"/>
      <c r="I44" s="49"/>
      <c r="J44" s="50"/>
      <c r="K44" s="53"/>
      <c r="L44" s="15"/>
      <c r="M44" s="15"/>
    </row>
    <row r="45" spans="1:13" ht="26.25" x14ac:dyDescent="0.4">
      <c r="A45" s="147" t="s">
        <v>61</v>
      </c>
      <c r="B45" s="17" t="s">
        <v>127</v>
      </c>
      <c r="C45" s="17" t="s">
        <v>173</v>
      </c>
      <c r="D45" s="15">
        <v>6</v>
      </c>
      <c r="E45" s="15">
        <v>24</v>
      </c>
      <c r="F45" s="15">
        <f t="shared" si="2"/>
        <v>144</v>
      </c>
      <c r="G45" s="15">
        <v>0.8</v>
      </c>
      <c r="H45" s="16">
        <f t="shared" si="3"/>
        <v>115.2</v>
      </c>
      <c r="I45" s="49"/>
      <c r="J45" s="50">
        <f t="shared" si="4"/>
        <v>589.25831202046038</v>
      </c>
      <c r="K45" s="53"/>
      <c r="L45" s="145">
        <v>6</v>
      </c>
      <c r="M45" s="145" t="s">
        <v>26</v>
      </c>
    </row>
    <row r="46" spans="1:13" ht="26.25" x14ac:dyDescent="0.4">
      <c r="A46" s="147"/>
      <c r="B46" s="17" t="s">
        <v>170</v>
      </c>
      <c r="C46" s="17" t="s">
        <v>156</v>
      </c>
      <c r="D46" s="15">
        <v>2</v>
      </c>
      <c r="E46" s="15">
        <v>42</v>
      </c>
      <c r="F46" s="15">
        <f t="shared" si="2"/>
        <v>84</v>
      </c>
      <c r="G46" s="15">
        <v>0.8</v>
      </c>
      <c r="H46" s="16">
        <f t="shared" si="3"/>
        <v>67.2</v>
      </c>
      <c r="I46" s="49"/>
      <c r="J46" s="50">
        <f t="shared" si="4"/>
        <v>343.73401534526852</v>
      </c>
      <c r="K46" s="53"/>
      <c r="L46" s="145"/>
      <c r="M46" s="145"/>
    </row>
    <row r="47" spans="1:13" ht="26.25" x14ac:dyDescent="0.4">
      <c r="A47" s="147"/>
      <c r="B47" s="17" t="s">
        <v>171</v>
      </c>
      <c r="C47" s="17" t="s">
        <v>156</v>
      </c>
      <c r="D47" s="15">
        <v>1</v>
      </c>
      <c r="E47" s="15">
        <v>42</v>
      </c>
      <c r="F47" s="15">
        <f t="shared" si="2"/>
        <v>42</v>
      </c>
      <c r="G47" s="15">
        <v>0.8</v>
      </c>
      <c r="H47" s="16">
        <f t="shared" si="3"/>
        <v>33.6</v>
      </c>
      <c r="I47" s="49"/>
      <c r="J47" s="50">
        <f t="shared" si="4"/>
        <v>171.86700767263426</v>
      </c>
      <c r="K47" s="53"/>
      <c r="L47" s="145"/>
      <c r="M47" s="145"/>
    </row>
    <row r="48" spans="1:13" ht="26.25" x14ac:dyDescent="0.4">
      <c r="A48" s="147"/>
      <c r="B48" s="17" t="s">
        <v>172</v>
      </c>
      <c r="C48" s="17" t="s">
        <v>156</v>
      </c>
      <c r="D48" s="15">
        <v>1</v>
      </c>
      <c r="E48" s="15">
        <v>42</v>
      </c>
      <c r="F48" s="15">
        <f t="shared" si="2"/>
        <v>42</v>
      </c>
      <c r="G48" s="15">
        <v>0.8</v>
      </c>
      <c r="H48" s="16">
        <f t="shared" si="3"/>
        <v>33.6</v>
      </c>
      <c r="I48" s="49"/>
      <c r="J48" s="50">
        <f t="shared" si="4"/>
        <v>171.86700767263426</v>
      </c>
      <c r="K48" s="53"/>
      <c r="L48" s="145"/>
      <c r="M48" s="145"/>
    </row>
    <row r="49" spans="1:13" ht="26.25" x14ac:dyDescent="0.4">
      <c r="A49" s="17"/>
      <c r="B49" s="17"/>
      <c r="C49" s="17"/>
      <c r="D49" s="17"/>
      <c r="E49" s="17"/>
      <c r="F49" s="15"/>
      <c r="G49" s="15"/>
      <c r="H49" s="16"/>
      <c r="I49" s="49"/>
      <c r="J49" s="50"/>
      <c r="K49" s="53"/>
      <c r="L49" s="15"/>
      <c r="M49" s="15"/>
    </row>
    <row r="50" spans="1:13" ht="26.25" x14ac:dyDescent="0.4">
      <c r="A50" s="146" t="s">
        <v>63</v>
      </c>
      <c r="B50" s="17" t="s">
        <v>128</v>
      </c>
      <c r="C50" s="17" t="s">
        <v>173</v>
      </c>
      <c r="D50" s="15">
        <v>6</v>
      </c>
      <c r="E50" s="15">
        <v>24</v>
      </c>
      <c r="F50" s="15">
        <f t="shared" si="2"/>
        <v>144</v>
      </c>
      <c r="G50" s="15">
        <v>0.8</v>
      </c>
      <c r="H50" s="16">
        <f t="shared" si="3"/>
        <v>115.2</v>
      </c>
      <c r="I50" s="49"/>
      <c r="J50" s="50"/>
      <c r="K50" s="53">
        <f t="shared" si="6"/>
        <v>589.25831202046038</v>
      </c>
      <c r="L50" s="145">
        <v>6</v>
      </c>
      <c r="M50" s="145" t="s">
        <v>26</v>
      </c>
    </row>
    <row r="51" spans="1:13" ht="26.25" x14ac:dyDescent="0.4">
      <c r="A51" s="146"/>
      <c r="B51" s="17" t="s">
        <v>174</v>
      </c>
      <c r="C51" s="17" t="s">
        <v>156</v>
      </c>
      <c r="D51" s="15">
        <v>1</v>
      </c>
      <c r="E51" s="15">
        <v>42</v>
      </c>
      <c r="F51" s="15">
        <f t="shared" si="2"/>
        <v>42</v>
      </c>
      <c r="G51" s="15">
        <v>0.8</v>
      </c>
      <c r="H51" s="16">
        <f t="shared" si="3"/>
        <v>33.6</v>
      </c>
      <c r="I51" s="49"/>
      <c r="J51" s="50"/>
      <c r="K51" s="53">
        <f t="shared" si="6"/>
        <v>171.86700767263426</v>
      </c>
      <c r="L51" s="145"/>
      <c r="M51" s="145"/>
    </row>
    <row r="52" spans="1:13" ht="26.25" x14ac:dyDescent="0.4">
      <c r="A52" s="146"/>
      <c r="B52" s="17" t="s">
        <v>175</v>
      </c>
      <c r="C52" s="17" t="s">
        <v>156</v>
      </c>
      <c r="D52" s="15">
        <v>1</v>
      </c>
      <c r="E52" s="15">
        <v>42</v>
      </c>
      <c r="F52" s="15">
        <f t="shared" si="2"/>
        <v>42</v>
      </c>
      <c r="G52" s="15">
        <v>0.8</v>
      </c>
      <c r="H52" s="16">
        <f t="shared" si="3"/>
        <v>33.6</v>
      </c>
      <c r="I52" s="49"/>
      <c r="J52" s="50"/>
      <c r="K52" s="53">
        <f t="shared" si="6"/>
        <v>171.86700767263426</v>
      </c>
      <c r="L52" s="145"/>
      <c r="M52" s="145"/>
    </row>
    <row r="53" spans="1:13" ht="26.25" x14ac:dyDescent="0.4">
      <c r="A53" s="146"/>
      <c r="B53" s="17" t="s">
        <v>166</v>
      </c>
      <c r="C53" s="17" t="s">
        <v>157</v>
      </c>
      <c r="D53" s="15">
        <v>2</v>
      </c>
      <c r="E53" s="15">
        <v>84</v>
      </c>
      <c r="F53" s="15">
        <f t="shared" si="2"/>
        <v>168</v>
      </c>
      <c r="G53" s="15">
        <v>0.8</v>
      </c>
      <c r="H53" s="16">
        <f t="shared" si="3"/>
        <v>134.4</v>
      </c>
      <c r="I53" s="49"/>
      <c r="J53" s="50"/>
      <c r="K53" s="53">
        <f t="shared" si="6"/>
        <v>687.46803069053703</v>
      </c>
      <c r="L53" s="145"/>
      <c r="M53" s="145"/>
    </row>
    <row r="54" spans="1:13" ht="26.25" x14ac:dyDescent="0.4">
      <c r="A54" s="17"/>
      <c r="B54" s="17"/>
      <c r="C54" s="17"/>
      <c r="D54" s="17"/>
      <c r="E54" s="17"/>
      <c r="F54" s="15"/>
      <c r="G54" s="15"/>
      <c r="H54" s="16"/>
      <c r="I54" s="49"/>
      <c r="J54" s="50"/>
      <c r="K54" s="53"/>
      <c r="L54" s="15"/>
      <c r="M54" s="15"/>
    </row>
    <row r="55" spans="1:13" ht="26.25" x14ac:dyDescent="0.4">
      <c r="A55" s="144" t="s">
        <v>64</v>
      </c>
      <c r="B55" s="17" t="s">
        <v>153</v>
      </c>
      <c r="C55" s="17" t="s">
        <v>156</v>
      </c>
      <c r="D55" s="15">
        <v>5</v>
      </c>
      <c r="E55" s="15">
        <v>42</v>
      </c>
      <c r="F55" s="15">
        <f t="shared" si="2"/>
        <v>210</v>
      </c>
      <c r="G55" s="15">
        <v>0.8</v>
      </c>
      <c r="H55" s="16">
        <f t="shared" si="3"/>
        <v>168</v>
      </c>
      <c r="I55" s="49">
        <f t="shared" si="1"/>
        <v>859.33503836317141</v>
      </c>
      <c r="J55" s="50"/>
      <c r="K55" s="53"/>
      <c r="L55" s="145">
        <v>6</v>
      </c>
      <c r="M55" s="145" t="s">
        <v>26</v>
      </c>
    </row>
    <row r="56" spans="1:13" ht="26.25" x14ac:dyDescent="0.4">
      <c r="A56" s="144"/>
      <c r="B56" s="17" t="s">
        <v>176</v>
      </c>
      <c r="C56" s="17" t="s">
        <v>156</v>
      </c>
      <c r="D56" s="15">
        <v>1</v>
      </c>
      <c r="E56" s="15">
        <v>42</v>
      </c>
      <c r="F56" s="15">
        <f>E56*D53</f>
        <v>84</v>
      </c>
      <c r="G56" s="15">
        <v>0.8</v>
      </c>
      <c r="H56" s="16">
        <f t="shared" si="3"/>
        <v>67.2</v>
      </c>
      <c r="I56" s="49">
        <f t="shared" si="1"/>
        <v>343.73401534526852</v>
      </c>
      <c r="J56" s="50"/>
      <c r="K56" s="53"/>
      <c r="L56" s="145"/>
      <c r="M56" s="145"/>
    </row>
    <row r="57" spans="1:13" ht="26.25" x14ac:dyDescent="0.4">
      <c r="A57" s="144"/>
      <c r="B57" s="17" t="s">
        <v>177</v>
      </c>
      <c r="C57" s="17" t="s">
        <v>156</v>
      </c>
      <c r="D57" s="15">
        <v>1</v>
      </c>
      <c r="E57" s="15">
        <v>42</v>
      </c>
      <c r="F57" s="15">
        <f t="shared" si="2"/>
        <v>42</v>
      </c>
      <c r="G57" s="15">
        <v>0.8</v>
      </c>
      <c r="H57" s="16">
        <f t="shared" si="3"/>
        <v>33.6</v>
      </c>
      <c r="I57" s="49">
        <f t="shared" si="1"/>
        <v>171.86700767263426</v>
      </c>
      <c r="J57" s="50"/>
      <c r="K57" s="53"/>
      <c r="L57" s="145"/>
      <c r="M57" s="145"/>
    </row>
    <row r="58" spans="1:13" ht="26.25" x14ac:dyDescent="0.4">
      <c r="A58" s="144"/>
      <c r="B58" s="17" t="s">
        <v>178</v>
      </c>
      <c r="C58" s="17" t="s">
        <v>156</v>
      </c>
      <c r="D58" s="15">
        <v>1</v>
      </c>
      <c r="E58" s="15">
        <v>42</v>
      </c>
      <c r="F58" s="15">
        <f t="shared" si="2"/>
        <v>42</v>
      </c>
      <c r="G58" s="15">
        <v>0.8</v>
      </c>
      <c r="H58" s="16">
        <f t="shared" si="3"/>
        <v>33.6</v>
      </c>
      <c r="I58" s="49">
        <f t="shared" si="1"/>
        <v>171.86700767263426</v>
      </c>
      <c r="J58" s="50"/>
      <c r="K58" s="53"/>
      <c r="L58" s="145"/>
      <c r="M58" s="145"/>
    </row>
    <row r="59" spans="1:13" ht="26.25" x14ac:dyDescent="0.4">
      <c r="A59" s="15"/>
      <c r="B59" s="17"/>
      <c r="C59" s="17"/>
      <c r="D59" s="17"/>
      <c r="E59" s="15"/>
      <c r="F59" s="15"/>
      <c r="G59" s="15"/>
      <c r="H59" s="16"/>
      <c r="I59" s="49"/>
      <c r="J59" s="50"/>
      <c r="K59" s="53"/>
      <c r="L59" s="15"/>
      <c r="M59" s="15"/>
    </row>
    <row r="60" spans="1:13" ht="26.25" x14ac:dyDescent="0.4">
      <c r="A60" s="147" t="s">
        <v>65</v>
      </c>
      <c r="B60" s="17" t="s">
        <v>147</v>
      </c>
      <c r="C60" s="17" t="s">
        <v>156</v>
      </c>
      <c r="D60" s="15">
        <v>6</v>
      </c>
      <c r="E60" s="15">
        <v>42</v>
      </c>
      <c r="F60" s="15">
        <f t="shared" si="2"/>
        <v>252</v>
      </c>
      <c r="G60" s="15">
        <v>0.8</v>
      </c>
      <c r="H60" s="16">
        <f t="shared" si="3"/>
        <v>201.60000000000002</v>
      </c>
      <c r="I60" s="49"/>
      <c r="J60" s="50">
        <f t="shared" si="4"/>
        <v>1031.2020460358058</v>
      </c>
      <c r="K60" s="53"/>
      <c r="L60" s="145">
        <v>6</v>
      </c>
      <c r="M60" s="145" t="s">
        <v>26</v>
      </c>
    </row>
    <row r="61" spans="1:13" ht="26.25" x14ac:dyDescent="0.4">
      <c r="A61" s="147"/>
      <c r="B61" s="17" t="s">
        <v>117</v>
      </c>
      <c r="C61" s="17" t="s">
        <v>183</v>
      </c>
      <c r="D61" s="15">
        <v>1</v>
      </c>
      <c r="E61" s="15">
        <v>25.7</v>
      </c>
      <c r="F61" s="15">
        <f t="shared" si="2"/>
        <v>25.7</v>
      </c>
      <c r="G61" s="15">
        <v>0.8</v>
      </c>
      <c r="H61" s="16">
        <f t="shared" si="3"/>
        <v>20.560000000000002</v>
      </c>
      <c r="I61" s="49"/>
      <c r="J61" s="50">
        <f t="shared" si="4"/>
        <v>105.16624040920718</v>
      </c>
      <c r="K61" s="53"/>
      <c r="L61" s="145"/>
      <c r="M61" s="145"/>
    </row>
    <row r="62" spans="1:13" ht="26.25" x14ac:dyDescent="0.4">
      <c r="A62" s="147"/>
      <c r="B62" s="17" t="s">
        <v>163</v>
      </c>
      <c r="C62" s="17" t="s">
        <v>156</v>
      </c>
      <c r="D62" s="15">
        <v>1</v>
      </c>
      <c r="E62" s="15">
        <v>42</v>
      </c>
      <c r="F62" s="15">
        <f>E62*D62</f>
        <v>42</v>
      </c>
      <c r="G62" s="15">
        <v>0.8</v>
      </c>
      <c r="H62" s="16">
        <f>F62*G62</f>
        <v>33.6</v>
      </c>
      <c r="I62" s="49"/>
      <c r="J62" s="50">
        <f t="shared" si="4"/>
        <v>171.86700767263426</v>
      </c>
      <c r="K62" s="53"/>
      <c r="L62" s="145"/>
      <c r="M62" s="145"/>
    </row>
    <row r="63" spans="1:13" ht="26.25" x14ac:dyDescent="0.4">
      <c r="A63" s="147"/>
      <c r="B63" s="17" t="s">
        <v>154</v>
      </c>
      <c r="C63" s="17" t="s">
        <v>181</v>
      </c>
      <c r="D63" s="15">
        <v>2</v>
      </c>
      <c r="E63" s="15">
        <v>2.5</v>
      </c>
      <c r="F63" s="15">
        <f>E63*D63</f>
        <v>5</v>
      </c>
      <c r="G63" s="15">
        <v>0.8</v>
      </c>
      <c r="H63" s="16">
        <f>F63*G63</f>
        <v>4</v>
      </c>
      <c r="I63" s="49"/>
      <c r="J63" s="50">
        <f t="shared" si="4"/>
        <v>20.460358056265985</v>
      </c>
      <c r="K63" s="53"/>
      <c r="L63" s="145"/>
      <c r="M63" s="145"/>
    </row>
    <row r="64" spans="1:13" ht="26.25" x14ac:dyDescent="0.4">
      <c r="A64" s="17"/>
      <c r="B64" s="17"/>
      <c r="C64" s="17"/>
      <c r="D64" s="17"/>
      <c r="E64" s="17"/>
      <c r="F64" s="15"/>
      <c r="G64" s="15"/>
      <c r="H64" s="16"/>
      <c r="I64" s="49"/>
      <c r="J64" s="50"/>
      <c r="K64" s="53"/>
      <c r="L64" s="15"/>
      <c r="M64" s="15"/>
    </row>
    <row r="65" spans="1:13" ht="26.25" x14ac:dyDescent="0.4">
      <c r="A65" s="146" t="s">
        <v>66</v>
      </c>
      <c r="B65" s="17" t="s">
        <v>127</v>
      </c>
      <c r="C65" s="17" t="s">
        <v>183</v>
      </c>
      <c r="D65" s="15">
        <v>4</v>
      </c>
      <c r="E65" s="15">
        <v>25.7</v>
      </c>
      <c r="F65" s="15">
        <f t="shared" si="2"/>
        <v>102.8</v>
      </c>
      <c r="G65" s="15">
        <v>0.8</v>
      </c>
      <c r="H65" s="16">
        <f>F65*G65</f>
        <v>82.240000000000009</v>
      </c>
      <c r="I65" s="49"/>
      <c r="J65" s="50"/>
      <c r="K65" s="53">
        <f t="shared" si="6"/>
        <v>420.66496163682871</v>
      </c>
      <c r="L65" s="145">
        <v>6</v>
      </c>
      <c r="M65" s="145" t="s">
        <v>26</v>
      </c>
    </row>
    <row r="66" spans="1:13" ht="26.25" x14ac:dyDescent="0.4">
      <c r="A66" s="146"/>
      <c r="B66" s="17" t="s">
        <v>186</v>
      </c>
      <c r="C66" s="17" t="s">
        <v>184</v>
      </c>
      <c r="D66" s="15">
        <v>1</v>
      </c>
      <c r="E66" s="15">
        <v>54</v>
      </c>
      <c r="F66" s="15">
        <f t="shared" si="2"/>
        <v>54</v>
      </c>
      <c r="G66" s="15">
        <v>0.8</v>
      </c>
      <c r="H66" s="16">
        <f>F66*G66</f>
        <v>43.2</v>
      </c>
      <c r="I66" s="49"/>
      <c r="J66" s="50"/>
      <c r="K66" s="53">
        <f t="shared" si="6"/>
        <v>220.97186700767264</v>
      </c>
      <c r="L66" s="145"/>
      <c r="M66" s="145"/>
    </row>
    <row r="67" spans="1:13" ht="26.25" x14ac:dyDescent="0.4">
      <c r="A67" s="146"/>
      <c r="B67" s="17" t="s">
        <v>185</v>
      </c>
      <c r="C67" s="17" t="s">
        <v>184</v>
      </c>
      <c r="D67" s="15">
        <v>1</v>
      </c>
      <c r="E67" s="15">
        <v>54</v>
      </c>
      <c r="F67" s="15">
        <f t="shared" si="2"/>
        <v>54</v>
      </c>
      <c r="G67" s="15">
        <v>0.8</v>
      </c>
      <c r="H67" s="16">
        <f>F67*G67</f>
        <v>43.2</v>
      </c>
      <c r="I67" s="49"/>
      <c r="J67" s="50"/>
      <c r="K67" s="53">
        <f t="shared" si="6"/>
        <v>220.97186700767264</v>
      </c>
      <c r="L67" s="145"/>
      <c r="M67" s="145"/>
    </row>
    <row r="68" spans="1:13" ht="26.25" x14ac:dyDescent="0.4">
      <c r="A68" s="146"/>
      <c r="B68" s="17" t="s">
        <v>154</v>
      </c>
      <c r="C68" s="17" t="s">
        <v>181</v>
      </c>
      <c r="D68" s="15">
        <v>4</v>
      </c>
      <c r="E68" s="15">
        <v>2.5</v>
      </c>
      <c r="F68" s="15">
        <f t="shared" si="2"/>
        <v>10</v>
      </c>
      <c r="G68" s="15">
        <v>0.8</v>
      </c>
      <c r="H68" s="16">
        <f>F68*G68</f>
        <v>8</v>
      </c>
      <c r="I68" s="49"/>
      <c r="J68" s="50"/>
      <c r="K68" s="53">
        <f t="shared" si="6"/>
        <v>40.92071611253197</v>
      </c>
      <c r="L68" s="145"/>
      <c r="M68" s="145"/>
    </row>
    <row r="69" spans="1:13" ht="26.25" x14ac:dyDescent="0.4">
      <c r="A69" s="17"/>
      <c r="B69" s="17"/>
      <c r="C69" s="17"/>
      <c r="D69" s="17"/>
      <c r="E69" s="17"/>
      <c r="F69" s="15"/>
      <c r="G69" s="15"/>
      <c r="H69" s="16"/>
      <c r="I69" s="49"/>
      <c r="J69" s="50"/>
      <c r="K69" s="53"/>
      <c r="L69" s="15"/>
      <c r="M69" s="15"/>
    </row>
    <row r="70" spans="1:13" ht="26.25" x14ac:dyDescent="0.4">
      <c r="A70" s="38" t="s">
        <v>68</v>
      </c>
      <c r="B70" s="17" t="s">
        <v>179</v>
      </c>
      <c r="C70" s="17" t="s">
        <v>180</v>
      </c>
      <c r="D70" s="15">
        <v>10</v>
      </c>
      <c r="E70" s="15">
        <v>1.2</v>
      </c>
      <c r="F70" s="15">
        <f t="shared" si="2"/>
        <v>12</v>
      </c>
      <c r="G70" s="15">
        <v>0.8</v>
      </c>
      <c r="H70" s="16">
        <f t="shared" si="3"/>
        <v>9.6000000000000014</v>
      </c>
      <c r="I70" s="49">
        <f t="shared" si="1"/>
        <v>49.10485933503837</v>
      </c>
      <c r="J70" s="50"/>
      <c r="K70" s="53"/>
      <c r="L70" s="15">
        <v>6</v>
      </c>
      <c r="M70" s="15" t="s">
        <v>26</v>
      </c>
    </row>
    <row r="71" spans="1:13" ht="26.25" x14ac:dyDescent="0.4">
      <c r="A71" s="15"/>
      <c r="B71" s="17"/>
      <c r="C71" s="17"/>
      <c r="D71" s="17"/>
      <c r="E71" s="17"/>
      <c r="F71" s="15"/>
      <c r="G71" s="15"/>
      <c r="H71" s="16"/>
      <c r="I71" s="49"/>
      <c r="J71" s="50"/>
      <c r="K71" s="53"/>
      <c r="L71" s="15"/>
      <c r="M71" s="15"/>
    </row>
    <row r="72" spans="1:13" ht="26.25" x14ac:dyDescent="0.4">
      <c r="A72" s="37" t="s">
        <v>69</v>
      </c>
      <c r="B72" s="17" t="s">
        <v>179</v>
      </c>
      <c r="C72" s="17" t="s">
        <v>180</v>
      </c>
      <c r="D72" s="15">
        <v>10</v>
      </c>
      <c r="E72" s="15">
        <v>1.2</v>
      </c>
      <c r="F72" s="15">
        <f t="shared" si="2"/>
        <v>12</v>
      </c>
      <c r="G72" s="15">
        <v>0.8</v>
      </c>
      <c r="H72" s="16">
        <f t="shared" si="3"/>
        <v>9.6000000000000014</v>
      </c>
      <c r="I72" s="49"/>
      <c r="J72" s="50">
        <f t="shared" ref="J72:J90" si="12">(H72/(230*0.85))*1000</f>
        <v>49.10485933503837</v>
      </c>
      <c r="K72" s="53"/>
      <c r="L72" s="15">
        <v>6</v>
      </c>
      <c r="M72" s="15" t="s">
        <v>26</v>
      </c>
    </row>
    <row r="73" spans="1:13" ht="26.25" x14ac:dyDescent="0.4">
      <c r="A73" s="17"/>
      <c r="B73" s="17"/>
      <c r="C73" s="17"/>
      <c r="D73" s="17"/>
      <c r="E73" s="17"/>
      <c r="F73" s="15"/>
      <c r="G73" s="15"/>
      <c r="H73" s="16"/>
      <c r="I73" s="49"/>
      <c r="J73" s="50"/>
      <c r="K73" s="53"/>
      <c r="L73" s="15"/>
      <c r="M73" s="15"/>
    </row>
    <row r="74" spans="1:13" ht="26.25" x14ac:dyDescent="0.4">
      <c r="A74" s="36" t="s">
        <v>71</v>
      </c>
      <c r="B74" s="17" t="s">
        <v>179</v>
      </c>
      <c r="C74" s="17" t="s">
        <v>180</v>
      </c>
      <c r="D74" s="15">
        <v>10</v>
      </c>
      <c r="E74" s="15">
        <v>1.2</v>
      </c>
      <c r="F74" s="15">
        <f t="shared" si="2"/>
        <v>12</v>
      </c>
      <c r="G74" s="15">
        <v>0.8</v>
      </c>
      <c r="H74" s="16">
        <f t="shared" si="3"/>
        <v>9.6000000000000014</v>
      </c>
      <c r="I74" s="49"/>
      <c r="J74" s="50"/>
      <c r="K74" s="53">
        <f t="shared" ref="K74:K83" si="13">(H74/(230*0.85))*1000</f>
        <v>49.10485933503837</v>
      </c>
      <c r="L74" s="15">
        <v>6</v>
      </c>
      <c r="M74" s="15" t="s">
        <v>26</v>
      </c>
    </row>
    <row r="75" spans="1:13" ht="26.25" x14ac:dyDescent="0.4">
      <c r="A75" s="17"/>
      <c r="B75" s="17"/>
      <c r="C75" s="17"/>
      <c r="D75" s="17"/>
      <c r="E75" s="17"/>
      <c r="F75" s="15"/>
      <c r="G75" s="15"/>
      <c r="H75" s="16"/>
      <c r="I75" s="49"/>
      <c r="J75" s="50"/>
      <c r="K75" s="53"/>
      <c r="L75" s="15"/>
      <c r="M75" s="15"/>
    </row>
    <row r="76" spans="1:13" ht="26.25" x14ac:dyDescent="0.4">
      <c r="A76" s="38" t="s">
        <v>72</v>
      </c>
      <c r="B76" s="17" t="s">
        <v>389</v>
      </c>
      <c r="C76" s="17" t="s">
        <v>180</v>
      </c>
      <c r="D76" s="15">
        <v>10</v>
      </c>
      <c r="E76" s="15">
        <v>1.2</v>
      </c>
      <c r="F76" s="15">
        <f t="shared" si="2"/>
        <v>12</v>
      </c>
      <c r="G76" s="15">
        <v>0.8</v>
      </c>
      <c r="H76" s="16">
        <f t="shared" si="3"/>
        <v>9.6000000000000014</v>
      </c>
      <c r="I76" s="49">
        <f t="shared" ref="I76:I85" si="14">(H76/(230*0.85))*1000</f>
        <v>49.10485933503837</v>
      </c>
      <c r="J76" s="50"/>
      <c r="K76" s="53"/>
      <c r="L76" s="15">
        <v>6</v>
      </c>
      <c r="M76" s="15" t="s">
        <v>26</v>
      </c>
    </row>
    <row r="77" spans="1:13" ht="26.25" x14ac:dyDescent="0.4">
      <c r="A77" s="15"/>
      <c r="B77" s="17"/>
      <c r="C77" s="17"/>
      <c r="D77" s="17"/>
      <c r="E77" s="17"/>
      <c r="F77" s="15"/>
      <c r="G77" s="15"/>
      <c r="H77" s="16"/>
      <c r="I77" s="49"/>
      <c r="J77" s="50"/>
      <c r="K77" s="53"/>
      <c r="L77" s="15"/>
      <c r="M77" s="15"/>
    </row>
    <row r="78" spans="1:13" ht="26.25" x14ac:dyDescent="0.4">
      <c r="A78" s="147" t="s">
        <v>73</v>
      </c>
      <c r="B78" s="17" t="s">
        <v>179</v>
      </c>
      <c r="C78" s="17" t="s">
        <v>180</v>
      </c>
      <c r="D78" s="15">
        <v>5</v>
      </c>
      <c r="E78" s="15">
        <v>1.2</v>
      </c>
      <c r="F78" s="15">
        <f t="shared" si="2"/>
        <v>6</v>
      </c>
      <c r="G78" s="15">
        <v>0.8</v>
      </c>
      <c r="H78" s="16">
        <f t="shared" si="3"/>
        <v>4.8000000000000007</v>
      </c>
      <c r="I78" s="49"/>
      <c r="J78" s="50">
        <f t="shared" si="12"/>
        <v>24.552429667519185</v>
      </c>
      <c r="K78" s="53"/>
      <c r="L78" s="15">
        <v>6</v>
      </c>
      <c r="M78" s="15" t="s">
        <v>26</v>
      </c>
    </row>
    <row r="79" spans="1:13" ht="26.25" x14ac:dyDescent="0.4">
      <c r="A79" s="147"/>
      <c r="B79" s="17" t="s">
        <v>154</v>
      </c>
      <c r="C79" s="17" t="s">
        <v>181</v>
      </c>
      <c r="D79" s="15">
        <v>5</v>
      </c>
      <c r="E79" s="15">
        <v>2.5</v>
      </c>
      <c r="F79" s="15">
        <f t="shared" si="2"/>
        <v>12.5</v>
      </c>
      <c r="G79" s="15">
        <v>0.8</v>
      </c>
      <c r="H79" s="16">
        <f t="shared" si="3"/>
        <v>10</v>
      </c>
      <c r="I79" s="49"/>
      <c r="J79" s="50">
        <f t="shared" si="12"/>
        <v>51.150895140664957</v>
      </c>
      <c r="K79" s="53"/>
      <c r="L79" s="15"/>
      <c r="M79" s="15"/>
    </row>
    <row r="80" spans="1:13" ht="26.25" x14ac:dyDescent="0.4">
      <c r="A80" s="17"/>
      <c r="B80" s="17"/>
      <c r="C80" s="17"/>
      <c r="D80" s="17"/>
      <c r="E80" s="17"/>
      <c r="F80" s="15"/>
      <c r="G80" s="15"/>
      <c r="H80" s="16"/>
      <c r="I80" s="49"/>
      <c r="J80" s="50"/>
      <c r="K80" s="53"/>
      <c r="L80" s="15"/>
      <c r="M80" s="15"/>
    </row>
    <row r="81" spans="1:13" ht="26.25" x14ac:dyDescent="0.4">
      <c r="A81" s="146" t="s">
        <v>75</v>
      </c>
      <c r="B81" s="17" t="s">
        <v>154</v>
      </c>
      <c r="C81" s="17" t="s">
        <v>182</v>
      </c>
      <c r="D81" s="15">
        <v>5</v>
      </c>
      <c r="E81" s="15">
        <v>2.5</v>
      </c>
      <c r="F81" s="15">
        <f t="shared" ref="F81:F85" si="15">E81*D81</f>
        <v>12.5</v>
      </c>
      <c r="G81" s="15">
        <v>0.8</v>
      </c>
      <c r="H81" s="16">
        <f t="shared" ref="H81:H85" si="16">F81*G81</f>
        <v>10</v>
      </c>
      <c r="I81" s="49"/>
      <c r="J81" s="50"/>
      <c r="K81" s="53">
        <f t="shared" si="13"/>
        <v>51.150895140664957</v>
      </c>
      <c r="L81" s="145">
        <v>6</v>
      </c>
      <c r="M81" s="145" t="s">
        <v>26</v>
      </c>
    </row>
    <row r="82" spans="1:13" ht="26.25" x14ac:dyDescent="0.4">
      <c r="A82" s="146"/>
      <c r="B82" s="17" t="s">
        <v>132</v>
      </c>
      <c r="C82" s="17" t="s">
        <v>183</v>
      </c>
      <c r="D82" s="15">
        <v>1</v>
      </c>
      <c r="E82" s="15">
        <v>25.7</v>
      </c>
      <c r="F82" s="15">
        <f t="shared" si="15"/>
        <v>25.7</v>
      </c>
      <c r="G82" s="15">
        <v>0.8</v>
      </c>
      <c r="H82" s="16">
        <f t="shared" si="16"/>
        <v>20.560000000000002</v>
      </c>
      <c r="I82" s="49"/>
      <c r="J82" s="50"/>
      <c r="K82" s="53">
        <f t="shared" si="13"/>
        <v>105.16624040920718</v>
      </c>
      <c r="L82" s="145"/>
      <c r="M82" s="145"/>
    </row>
    <row r="83" spans="1:13" ht="26.25" x14ac:dyDescent="0.4">
      <c r="A83" s="146"/>
      <c r="B83" s="17" t="s">
        <v>128</v>
      </c>
      <c r="C83" s="15" t="s">
        <v>183</v>
      </c>
      <c r="D83" s="15">
        <v>4</v>
      </c>
      <c r="E83" s="15">
        <v>25.7</v>
      </c>
      <c r="F83" s="15">
        <f t="shared" si="15"/>
        <v>102.8</v>
      </c>
      <c r="G83" s="15">
        <v>0.8</v>
      </c>
      <c r="H83" s="16">
        <f t="shared" si="16"/>
        <v>82.240000000000009</v>
      </c>
      <c r="I83" s="49"/>
      <c r="J83" s="50"/>
      <c r="K83" s="53">
        <f t="shared" si="13"/>
        <v>420.66496163682871</v>
      </c>
      <c r="L83" s="145"/>
      <c r="M83" s="145"/>
    </row>
    <row r="84" spans="1:13" ht="26.25" x14ac:dyDescent="0.4">
      <c r="A84" s="17"/>
      <c r="B84" s="17"/>
      <c r="C84" s="17"/>
      <c r="D84" s="17"/>
      <c r="E84" s="17"/>
      <c r="F84" s="15"/>
      <c r="G84" s="15"/>
      <c r="H84" s="16"/>
      <c r="I84" s="49"/>
      <c r="J84" s="50"/>
      <c r="K84" s="54"/>
      <c r="L84" s="15"/>
      <c r="M84" s="15"/>
    </row>
    <row r="85" spans="1:13" ht="26.25" x14ac:dyDescent="0.4">
      <c r="A85" s="38" t="s">
        <v>77</v>
      </c>
      <c r="B85" s="17" t="s">
        <v>179</v>
      </c>
      <c r="C85" s="17" t="s">
        <v>180</v>
      </c>
      <c r="D85" s="15">
        <v>10</v>
      </c>
      <c r="E85" s="15">
        <v>1.2</v>
      </c>
      <c r="F85" s="15">
        <f t="shared" si="15"/>
        <v>12</v>
      </c>
      <c r="G85" s="15">
        <v>0.8</v>
      </c>
      <c r="H85" s="16">
        <f t="shared" si="16"/>
        <v>9.6000000000000014</v>
      </c>
      <c r="I85" s="49">
        <f t="shared" si="14"/>
        <v>49.10485933503837</v>
      </c>
      <c r="J85" s="50"/>
      <c r="K85" s="54"/>
      <c r="L85" s="15">
        <v>6</v>
      </c>
      <c r="M85" s="15" t="s">
        <v>26</v>
      </c>
    </row>
    <row r="86" spans="1:13" ht="26.25" x14ac:dyDescent="0.4">
      <c r="A86" s="83"/>
      <c r="B86" s="17"/>
      <c r="C86" s="17"/>
      <c r="D86" s="15"/>
      <c r="E86" s="15"/>
      <c r="F86" s="15"/>
      <c r="G86" s="15"/>
      <c r="H86" s="16"/>
      <c r="I86" s="49"/>
      <c r="J86" s="50"/>
      <c r="K86" s="54"/>
      <c r="L86" s="15"/>
      <c r="M86" s="15"/>
    </row>
    <row r="87" spans="1:13" ht="26.25" x14ac:dyDescent="0.4">
      <c r="A87" s="147" t="s">
        <v>79</v>
      </c>
      <c r="B87" s="17" t="s">
        <v>121</v>
      </c>
      <c r="C87" s="17" t="s">
        <v>157</v>
      </c>
      <c r="D87" s="17">
        <v>2</v>
      </c>
      <c r="E87" s="15">
        <v>84</v>
      </c>
      <c r="F87" s="15">
        <f t="shared" ref="F87:F90" si="17">E87*D87</f>
        <v>168</v>
      </c>
      <c r="G87" s="15">
        <v>0.8</v>
      </c>
      <c r="H87" s="16">
        <f t="shared" ref="H87:H90" si="18">F87*G87</f>
        <v>134.4</v>
      </c>
      <c r="I87" s="49"/>
      <c r="J87" s="50">
        <f t="shared" si="12"/>
        <v>687.46803069053703</v>
      </c>
      <c r="K87" s="54"/>
      <c r="L87" s="152">
        <v>6</v>
      </c>
      <c r="M87" s="152" t="s">
        <v>26</v>
      </c>
    </row>
    <row r="88" spans="1:13" ht="26.25" x14ac:dyDescent="0.4">
      <c r="A88" s="147"/>
      <c r="B88" s="17" t="s">
        <v>168</v>
      </c>
      <c r="C88" s="17" t="s">
        <v>156</v>
      </c>
      <c r="D88" s="15">
        <v>2</v>
      </c>
      <c r="E88" s="15">
        <v>42</v>
      </c>
      <c r="F88" s="15">
        <f t="shared" si="17"/>
        <v>84</v>
      </c>
      <c r="G88" s="15">
        <v>0.8</v>
      </c>
      <c r="H88" s="16">
        <f t="shared" si="18"/>
        <v>67.2</v>
      </c>
      <c r="I88" s="49"/>
      <c r="J88" s="50">
        <f t="shared" si="12"/>
        <v>343.73401534526852</v>
      </c>
      <c r="K88" s="54"/>
      <c r="L88" s="153"/>
      <c r="M88" s="153"/>
    </row>
    <row r="89" spans="1:13" ht="26.25" x14ac:dyDescent="0.4">
      <c r="A89" s="147"/>
      <c r="B89" s="17" t="s">
        <v>189</v>
      </c>
      <c r="C89" s="17" t="s">
        <v>156</v>
      </c>
      <c r="D89" s="15">
        <v>1</v>
      </c>
      <c r="E89" s="15">
        <v>42</v>
      </c>
      <c r="F89" s="15">
        <f t="shared" si="17"/>
        <v>42</v>
      </c>
      <c r="G89" s="15">
        <v>0.8</v>
      </c>
      <c r="H89" s="16">
        <f t="shared" si="18"/>
        <v>33.6</v>
      </c>
      <c r="I89" s="49"/>
      <c r="J89" s="50">
        <f t="shared" si="12"/>
        <v>171.86700767263426</v>
      </c>
      <c r="K89" s="54"/>
      <c r="L89" s="153"/>
      <c r="M89" s="153"/>
    </row>
    <row r="90" spans="1:13" ht="26.25" x14ac:dyDescent="0.4">
      <c r="A90" s="147"/>
      <c r="B90" s="17" t="s">
        <v>154</v>
      </c>
      <c r="C90" s="17" t="s">
        <v>182</v>
      </c>
      <c r="D90" s="15">
        <v>5</v>
      </c>
      <c r="E90" s="15">
        <v>2.5</v>
      </c>
      <c r="F90" s="15">
        <f t="shared" si="17"/>
        <v>12.5</v>
      </c>
      <c r="G90" s="15">
        <v>0.8</v>
      </c>
      <c r="H90" s="16">
        <f t="shared" si="18"/>
        <v>10</v>
      </c>
      <c r="I90" s="49"/>
      <c r="J90" s="50">
        <f t="shared" si="12"/>
        <v>51.150895140664957</v>
      </c>
      <c r="K90" s="54"/>
      <c r="L90" s="153"/>
      <c r="M90" s="153"/>
    </row>
    <row r="91" spans="1:13" ht="26.25" x14ac:dyDescent="0.4">
      <c r="A91" s="17"/>
      <c r="B91" s="17"/>
      <c r="C91" s="17"/>
      <c r="D91" s="17"/>
      <c r="E91" s="17"/>
      <c r="F91" s="15"/>
      <c r="G91" s="15"/>
      <c r="H91" s="16"/>
      <c r="I91" s="49"/>
      <c r="J91" s="51"/>
      <c r="K91" s="54"/>
      <c r="L91" s="154"/>
      <c r="M91" s="154"/>
    </row>
    <row r="92" spans="1:13" ht="26.25" x14ac:dyDescent="0.4">
      <c r="A92" s="17"/>
      <c r="B92" s="27"/>
      <c r="C92" s="27"/>
      <c r="D92" s="27">
        <f>SUM(D6:D91)</f>
        <v>229</v>
      </c>
      <c r="E92" s="27">
        <f>SUM(E6:E91)</f>
        <v>2756.4999999999982</v>
      </c>
      <c r="F92" s="27">
        <f>SUM(F6:F91)</f>
        <v>9255.5</v>
      </c>
      <c r="G92" s="27"/>
      <c r="H92" s="73">
        <f>SUM(H6:H91)</f>
        <v>7404.4000000000033</v>
      </c>
      <c r="I92" s="28">
        <f>SUM(I6:I91)</f>
        <v>13037.340153452682</v>
      </c>
      <c r="J92" s="29">
        <f>SUM(J6:J91)</f>
        <v>12749.667519181583</v>
      </c>
      <c r="K92" s="30">
        <f>SUM(K6:K91)</f>
        <v>12087.161125319693</v>
      </c>
      <c r="L92" s="15"/>
      <c r="M92" s="15"/>
    </row>
  </sheetData>
  <mergeCells count="52">
    <mergeCell ref="A87:A90"/>
    <mergeCell ref="M60:M63"/>
    <mergeCell ref="L65:L68"/>
    <mergeCell ref="M65:M68"/>
    <mergeCell ref="L81:L83"/>
    <mergeCell ref="M81:M83"/>
    <mergeCell ref="A60:A63"/>
    <mergeCell ref="A65:A68"/>
    <mergeCell ref="A78:A79"/>
    <mergeCell ref="A81:A83"/>
    <mergeCell ref="L60:L63"/>
    <mergeCell ref="L87:L91"/>
    <mergeCell ref="M87:M91"/>
    <mergeCell ref="A55:A58"/>
    <mergeCell ref="L55:L58"/>
    <mergeCell ref="M55:M58"/>
    <mergeCell ref="A50:A53"/>
    <mergeCell ref="L50:L53"/>
    <mergeCell ref="M50:M53"/>
    <mergeCell ref="A41:A43"/>
    <mergeCell ref="L41:L43"/>
    <mergeCell ref="M41:M43"/>
    <mergeCell ref="A45:A48"/>
    <mergeCell ref="L45:L48"/>
    <mergeCell ref="M45:M48"/>
    <mergeCell ref="L24:L27"/>
    <mergeCell ref="M24:M27"/>
    <mergeCell ref="A37:A39"/>
    <mergeCell ref="L37:L39"/>
    <mergeCell ref="M37:M39"/>
    <mergeCell ref="A1:M1"/>
    <mergeCell ref="A2:M2"/>
    <mergeCell ref="A4:A5"/>
    <mergeCell ref="B4:C4"/>
    <mergeCell ref="D4:D5"/>
    <mergeCell ref="A3:M3"/>
    <mergeCell ref="A6:A8"/>
    <mergeCell ref="L6:L8"/>
    <mergeCell ref="M6:M8"/>
    <mergeCell ref="L29:L31"/>
    <mergeCell ref="M29:M31"/>
    <mergeCell ref="L10:L12"/>
    <mergeCell ref="M10:M12"/>
    <mergeCell ref="A15:A17"/>
    <mergeCell ref="L15:L17"/>
    <mergeCell ref="M15:M17"/>
    <mergeCell ref="A10:A13"/>
    <mergeCell ref="A29:A31"/>
    <mergeCell ref="A19:A22"/>
    <mergeCell ref="L19:L22"/>
    <mergeCell ref="M19:M22"/>
    <mergeCell ref="A24:A27"/>
  </mergeCells>
  <pageMargins left="0.7" right="0.7" top="0.75" bottom="0.75" header="0.3" footer="0.3"/>
  <pageSetup paperSize="140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0F8B-3CBA-4B3F-A71F-F7E13D2577BE}">
  <dimension ref="A3:J26"/>
  <sheetViews>
    <sheetView zoomScale="55" zoomScaleNormal="55" workbookViewId="0">
      <selection activeCell="D28" sqref="D28"/>
    </sheetView>
  </sheetViews>
  <sheetFormatPr defaultRowHeight="15.75" x14ac:dyDescent="0.25"/>
  <cols>
    <col min="1" max="1" width="5.875" bestFit="1" customWidth="1"/>
    <col min="2" max="2" width="39.375" bestFit="1" customWidth="1"/>
    <col min="3" max="3" width="44.25" bestFit="1" customWidth="1"/>
    <col min="4" max="4" width="15.625" bestFit="1" customWidth="1"/>
    <col min="5" max="5" width="19.625" bestFit="1" customWidth="1"/>
    <col min="6" max="6" width="15.125" bestFit="1" customWidth="1"/>
    <col min="7" max="7" width="23.25" bestFit="1" customWidth="1"/>
    <col min="8" max="8" width="29.625" bestFit="1" customWidth="1"/>
    <col min="9" max="9" width="12.625" bestFit="1" customWidth="1"/>
    <col min="10" max="10" width="43.375" bestFit="1" customWidth="1"/>
  </cols>
  <sheetData>
    <row r="3" spans="1:10" ht="25.5" x14ac:dyDescent="0.35">
      <c r="A3" s="86" t="s">
        <v>190</v>
      </c>
      <c r="B3" s="86" t="s">
        <v>191</v>
      </c>
      <c r="C3" s="86" t="s">
        <v>192</v>
      </c>
      <c r="D3" s="86" t="s">
        <v>193</v>
      </c>
      <c r="E3" s="86" t="s">
        <v>194</v>
      </c>
      <c r="F3" s="86" t="s">
        <v>195</v>
      </c>
      <c r="G3" s="86" t="s">
        <v>196</v>
      </c>
      <c r="H3" s="86" t="s">
        <v>197</v>
      </c>
      <c r="I3" s="86" t="s">
        <v>198</v>
      </c>
      <c r="J3" s="86" t="s">
        <v>199</v>
      </c>
    </row>
    <row r="4" spans="1:10" ht="26.25" x14ac:dyDescent="0.4">
      <c r="A4" s="87">
        <v>1</v>
      </c>
      <c r="B4" s="87" t="s">
        <v>200</v>
      </c>
      <c r="C4" s="87" t="s">
        <v>138</v>
      </c>
      <c r="D4" s="87">
        <v>19.920000000000002</v>
      </c>
      <c r="E4" s="87">
        <v>60</v>
      </c>
      <c r="F4" s="88">
        <f>D4*10.764</f>
        <v>214.41888</v>
      </c>
      <c r="G4" s="89">
        <f>(F4*E4)/9500</f>
        <v>1.3542245052631579</v>
      </c>
      <c r="H4" s="50" t="s">
        <v>201</v>
      </c>
      <c r="I4" s="87">
        <v>1</v>
      </c>
      <c r="J4" s="90" t="s">
        <v>202</v>
      </c>
    </row>
    <row r="5" spans="1:10" ht="26.25" x14ac:dyDescent="0.4">
      <c r="A5" s="87">
        <v>2</v>
      </c>
      <c r="B5" s="87" t="s">
        <v>203</v>
      </c>
      <c r="C5" s="87" t="s">
        <v>140</v>
      </c>
      <c r="D5" s="87">
        <v>19.920000000000002</v>
      </c>
      <c r="E5" s="87">
        <v>60</v>
      </c>
      <c r="F5" s="88">
        <f t="shared" ref="F5:F26" si="0">D5*10.764</f>
        <v>214.41888</v>
      </c>
      <c r="G5" s="89">
        <f t="shared" ref="G5:G25" si="1">(F5*E5)/9500</f>
        <v>1.3542245052631579</v>
      </c>
      <c r="H5" s="50" t="s">
        <v>201</v>
      </c>
      <c r="I5" s="87">
        <v>1</v>
      </c>
      <c r="J5" s="90" t="s">
        <v>202</v>
      </c>
    </row>
    <row r="6" spans="1:10" ht="26.25" x14ac:dyDescent="0.4">
      <c r="A6" s="87">
        <v>3</v>
      </c>
      <c r="B6" s="87" t="s">
        <v>204</v>
      </c>
      <c r="C6" s="87" t="s">
        <v>141</v>
      </c>
      <c r="D6" s="87">
        <v>24</v>
      </c>
      <c r="E6" s="87">
        <v>60</v>
      </c>
      <c r="F6" s="88">
        <f t="shared" si="0"/>
        <v>258.33600000000001</v>
      </c>
      <c r="G6" s="89">
        <f t="shared" si="1"/>
        <v>1.6315957894736841</v>
      </c>
      <c r="H6" s="50" t="s">
        <v>205</v>
      </c>
      <c r="I6" s="87">
        <v>1</v>
      </c>
      <c r="J6" s="90" t="s">
        <v>148</v>
      </c>
    </row>
    <row r="7" spans="1:10" ht="26.25" x14ac:dyDescent="0.4">
      <c r="A7" s="87">
        <v>4</v>
      </c>
      <c r="B7" s="87" t="s">
        <v>206</v>
      </c>
      <c r="C7" s="87" t="s">
        <v>114</v>
      </c>
      <c r="D7" s="87">
        <v>27.72</v>
      </c>
      <c r="E7" s="87">
        <v>60</v>
      </c>
      <c r="F7" s="88">
        <f t="shared" si="0"/>
        <v>298.37807999999995</v>
      </c>
      <c r="G7" s="89">
        <f t="shared" si="1"/>
        <v>1.8844931368421047</v>
      </c>
      <c r="H7" s="50" t="s">
        <v>205</v>
      </c>
      <c r="I7" s="87">
        <v>1</v>
      </c>
      <c r="J7" s="90" t="s">
        <v>148</v>
      </c>
    </row>
    <row r="8" spans="1:10" ht="26.25" x14ac:dyDescent="0.4">
      <c r="A8" s="87">
        <v>5</v>
      </c>
      <c r="B8" s="87" t="s">
        <v>207</v>
      </c>
      <c r="C8" s="87" t="s">
        <v>161</v>
      </c>
      <c r="D8" s="87">
        <v>20.2</v>
      </c>
      <c r="E8" s="87">
        <v>60</v>
      </c>
      <c r="F8" s="88">
        <f t="shared" si="0"/>
        <v>217.43279999999999</v>
      </c>
      <c r="G8" s="89" t="s">
        <v>208</v>
      </c>
      <c r="H8" s="50" t="s">
        <v>208</v>
      </c>
      <c r="I8" s="87">
        <v>1</v>
      </c>
      <c r="J8" s="90" t="s">
        <v>209</v>
      </c>
    </row>
    <row r="9" spans="1:10" ht="26.25" x14ac:dyDescent="0.4">
      <c r="A9" s="87">
        <v>6</v>
      </c>
      <c r="B9" s="87" t="s">
        <v>210</v>
      </c>
      <c r="C9" s="87" t="s">
        <v>211</v>
      </c>
      <c r="D9" s="87">
        <v>12.935</v>
      </c>
      <c r="E9" s="87">
        <v>60</v>
      </c>
      <c r="F9" s="88">
        <f t="shared" si="0"/>
        <v>139.23233999999999</v>
      </c>
      <c r="G9" s="89">
        <f t="shared" si="1"/>
        <v>0.879362147368421</v>
      </c>
      <c r="H9" s="50" t="s">
        <v>212</v>
      </c>
      <c r="I9" s="87">
        <v>1</v>
      </c>
      <c r="J9" s="90" t="s">
        <v>149</v>
      </c>
    </row>
    <row r="10" spans="1:10" ht="26.25" x14ac:dyDescent="0.4">
      <c r="A10" s="87">
        <v>7</v>
      </c>
      <c r="B10" s="87" t="s">
        <v>213</v>
      </c>
      <c r="C10" s="87" t="s">
        <v>117</v>
      </c>
      <c r="D10" s="87">
        <v>13.0146</v>
      </c>
      <c r="E10" s="87"/>
      <c r="F10" s="88">
        <f t="shared" si="0"/>
        <v>140.08915439999998</v>
      </c>
      <c r="G10" s="89" t="s">
        <v>208</v>
      </c>
      <c r="H10" s="50" t="s">
        <v>208</v>
      </c>
      <c r="I10" s="87">
        <v>1</v>
      </c>
      <c r="J10" s="90" t="s">
        <v>214</v>
      </c>
    </row>
    <row r="11" spans="1:10" ht="26.25" x14ac:dyDescent="0.4">
      <c r="A11" s="87">
        <v>8</v>
      </c>
      <c r="B11" s="87" t="s">
        <v>215</v>
      </c>
      <c r="C11" s="87" t="s">
        <v>120</v>
      </c>
      <c r="D11" s="87">
        <v>12.935</v>
      </c>
      <c r="E11" s="87">
        <v>60</v>
      </c>
      <c r="F11" s="88">
        <f t="shared" si="0"/>
        <v>139.23233999999999</v>
      </c>
      <c r="G11" s="89">
        <f t="shared" si="1"/>
        <v>0.879362147368421</v>
      </c>
      <c r="H11" s="50" t="s">
        <v>212</v>
      </c>
      <c r="I11" s="87">
        <v>1</v>
      </c>
      <c r="J11" s="90" t="s">
        <v>149</v>
      </c>
    </row>
    <row r="12" spans="1:10" ht="26.25" x14ac:dyDescent="0.4">
      <c r="A12" s="87">
        <v>9</v>
      </c>
      <c r="B12" s="87" t="s">
        <v>216</v>
      </c>
      <c r="C12" s="87" t="s">
        <v>119</v>
      </c>
      <c r="D12" s="87">
        <v>13.0146</v>
      </c>
      <c r="E12" s="87">
        <v>60</v>
      </c>
      <c r="F12" s="88">
        <f t="shared" si="0"/>
        <v>140.08915439999998</v>
      </c>
      <c r="G12" s="89">
        <f t="shared" si="1"/>
        <v>0.88477360673684191</v>
      </c>
      <c r="H12" s="50" t="s">
        <v>212</v>
      </c>
      <c r="I12" s="87">
        <v>1</v>
      </c>
      <c r="J12" s="90" t="s">
        <v>149</v>
      </c>
    </row>
    <row r="13" spans="1:10" ht="26.25" x14ac:dyDescent="0.4">
      <c r="A13" s="87">
        <v>10</v>
      </c>
      <c r="B13" s="87" t="s">
        <v>217</v>
      </c>
      <c r="C13" s="87" t="s">
        <v>115</v>
      </c>
      <c r="D13" s="87">
        <v>24</v>
      </c>
      <c r="E13" s="87">
        <v>70</v>
      </c>
      <c r="F13" s="88">
        <f t="shared" si="0"/>
        <v>258.33600000000001</v>
      </c>
      <c r="G13" s="89">
        <f t="shared" si="1"/>
        <v>1.9035284210526315</v>
      </c>
      <c r="H13" s="50" t="s">
        <v>205</v>
      </c>
      <c r="I13" s="87">
        <v>1</v>
      </c>
      <c r="J13" s="90" t="s">
        <v>148</v>
      </c>
    </row>
    <row r="14" spans="1:10" ht="26.25" x14ac:dyDescent="0.4">
      <c r="A14" s="87">
        <v>11</v>
      </c>
      <c r="B14" s="87" t="s">
        <v>189</v>
      </c>
      <c r="C14" s="87" t="s">
        <v>123</v>
      </c>
      <c r="D14" s="87">
        <v>5.3</v>
      </c>
      <c r="E14" s="87">
        <v>60</v>
      </c>
      <c r="F14" s="88">
        <f t="shared" si="0"/>
        <v>57.049199999999992</v>
      </c>
      <c r="G14" s="89" t="s">
        <v>208</v>
      </c>
      <c r="H14" s="50" t="s">
        <v>208</v>
      </c>
      <c r="I14" s="87">
        <v>1</v>
      </c>
      <c r="J14" s="90" t="s">
        <v>209</v>
      </c>
    </row>
    <row r="15" spans="1:10" ht="26.25" x14ac:dyDescent="0.4">
      <c r="A15" s="87">
        <v>12</v>
      </c>
      <c r="B15" s="87" t="s">
        <v>218</v>
      </c>
      <c r="C15" s="87" t="s">
        <v>161</v>
      </c>
      <c r="D15" s="87">
        <v>6.09</v>
      </c>
      <c r="E15" s="87">
        <v>60</v>
      </c>
      <c r="F15" s="88">
        <f t="shared" si="0"/>
        <v>65.552759999999992</v>
      </c>
      <c r="G15" s="89" t="s">
        <v>208</v>
      </c>
      <c r="H15" s="50" t="s">
        <v>208</v>
      </c>
      <c r="I15" s="87">
        <v>1</v>
      </c>
      <c r="J15" s="90" t="s">
        <v>209</v>
      </c>
    </row>
    <row r="16" spans="1:10" ht="26.25" x14ac:dyDescent="0.4">
      <c r="A16" s="87">
        <v>13</v>
      </c>
      <c r="B16" s="87" t="s">
        <v>219</v>
      </c>
      <c r="C16" s="87" t="s">
        <v>115</v>
      </c>
      <c r="D16" s="87">
        <v>79.974999999999994</v>
      </c>
      <c r="E16" s="87">
        <v>70</v>
      </c>
      <c r="F16" s="88">
        <f t="shared" si="0"/>
        <v>860.85089999999991</v>
      </c>
      <c r="G16" s="89">
        <f t="shared" si="1"/>
        <v>6.3431118947368414</v>
      </c>
      <c r="H16" s="50" t="s">
        <v>220</v>
      </c>
      <c r="I16" s="87">
        <v>3</v>
      </c>
      <c r="J16" s="90" t="s">
        <v>221</v>
      </c>
    </row>
    <row r="17" spans="1:10" ht="26.25" x14ac:dyDescent="0.4">
      <c r="A17" s="87">
        <v>14</v>
      </c>
      <c r="B17" s="87" t="s">
        <v>222</v>
      </c>
      <c r="C17" s="87" t="s">
        <v>147</v>
      </c>
      <c r="D17" s="87">
        <v>48.6</v>
      </c>
      <c r="E17" s="87">
        <v>60</v>
      </c>
      <c r="F17" s="88">
        <f t="shared" si="0"/>
        <v>523.13040000000001</v>
      </c>
      <c r="G17" s="89">
        <f t="shared" si="1"/>
        <v>3.3039814736842108</v>
      </c>
      <c r="H17" s="50" t="s">
        <v>212</v>
      </c>
      <c r="I17" s="87">
        <v>4</v>
      </c>
      <c r="J17" s="90" t="s">
        <v>223</v>
      </c>
    </row>
    <row r="18" spans="1:10" ht="26.25" x14ac:dyDescent="0.4">
      <c r="A18" s="87">
        <v>15</v>
      </c>
      <c r="B18" s="87" t="s">
        <v>224</v>
      </c>
      <c r="C18" s="87" t="s">
        <v>122</v>
      </c>
      <c r="D18" s="87">
        <v>22.274999999999999</v>
      </c>
      <c r="E18" s="87">
        <v>60</v>
      </c>
      <c r="F18" s="88">
        <f t="shared" si="0"/>
        <v>239.76809999999998</v>
      </c>
      <c r="G18" s="89">
        <f t="shared" si="1"/>
        <v>1.5143248421052631</v>
      </c>
      <c r="H18" s="50" t="s">
        <v>205</v>
      </c>
      <c r="I18" s="87">
        <v>1</v>
      </c>
      <c r="J18" s="90" t="s">
        <v>148</v>
      </c>
    </row>
    <row r="19" spans="1:10" ht="26.25" x14ac:dyDescent="0.4">
      <c r="A19" s="87">
        <v>16</v>
      </c>
      <c r="B19" s="87" t="s">
        <v>225</v>
      </c>
      <c r="C19" s="87" t="s">
        <v>121</v>
      </c>
      <c r="D19" s="87">
        <v>75</v>
      </c>
      <c r="E19" s="87">
        <v>70</v>
      </c>
      <c r="F19" s="88">
        <f t="shared" si="0"/>
        <v>807.3</v>
      </c>
      <c r="G19" s="89">
        <f t="shared" si="1"/>
        <v>5.9485263157894739</v>
      </c>
      <c r="H19" s="50" t="s">
        <v>201</v>
      </c>
      <c r="I19" s="87">
        <v>4</v>
      </c>
      <c r="J19" s="90" t="s">
        <v>226</v>
      </c>
    </row>
    <row r="20" spans="1:10" ht="26.25" x14ac:dyDescent="0.4">
      <c r="A20" s="87">
        <v>17</v>
      </c>
      <c r="B20" s="87" t="s">
        <v>227</v>
      </c>
      <c r="C20" s="87" t="s">
        <v>118</v>
      </c>
      <c r="D20" s="87">
        <v>25.15</v>
      </c>
      <c r="E20" s="87">
        <v>70</v>
      </c>
      <c r="F20" s="88">
        <f t="shared" si="0"/>
        <v>270.71459999999996</v>
      </c>
      <c r="G20" s="89">
        <f t="shared" si="1"/>
        <v>1.9947391578947367</v>
      </c>
      <c r="H20" s="50" t="s">
        <v>212</v>
      </c>
      <c r="I20" s="87">
        <v>2</v>
      </c>
      <c r="J20" s="90" t="s">
        <v>149</v>
      </c>
    </row>
    <row r="21" spans="1:10" ht="26.25" x14ac:dyDescent="0.4">
      <c r="A21" s="87">
        <v>18</v>
      </c>
      <c r="B21" s="87" t="s">
        <v>228</v>
      </c>
      <c r="C21" s="87" t="s">
        <v>127</v>
      </c>
      <c r="D21" s="87">
        <v>18.675000000000001</v>
      </c>
      <c r="E21" s="87"/>
      <c r="F21" s="88">
        <f t="shared" si="0"/>
        <v>201.01769999999999</v>
      </c>
      <c r="G21" s="89" t="s">
        <v>208</v>
      </c>
      <c r="H21" s="50" t="s">
        <v>208</v>
      </c>
      <c r="I21" s="87">
        <v>4</v>
      </c>
      <c r="J21" s="90" t="s">
        <v>214</v>
      </c>
    </row>
    <row r="22" spans="1:10" ht="26.25" x14ac:dyDescent="0.4">
      <c r="A22" s="87">
        <v>19</v>
      </c>
      <c r="B22" s="87" t="s">
        <v>229</v>
      </c>
      <c r="C22" s="87" t="s">
        <v>128</v>
      </c>
      <c r="D22" s="87">
        <v>18.301500000000001</v>
      </c>
      <c r="E22" s="87"/>
      <c r="F22" s="88">
        <f t="shared" si="0"/>
        <v>196.99734599999999</v>
      </c>
      <c r="G22" s="89" t="s">
        <v>208</v>
      </c>
      <c r="H22" s="50" t="s">
        <v>208</v>
      </c>
      <c r="I22" s="87">
        <v>4</v>
      </c>
      <c r="J22" s="90" t="s">
        <v>214</v>
      </c>
    </row>
    <row r="23" spans="1:10" ht="26.25" x14ac:dyDescent="0.4">
      <c r="A23" s="87">
        <v>20</v>
      </c>
      <c r="B23" s="87" t="s">
        <v>230</v>
      </c>
      <c r="C23" s="87" t="s">
        <v>130</v>
      </c>
      <c r="D23" s="87">
        <v>9.69</v>
      </c>
      <c r="E23" s="87">
        <v>70</v>
      </c>
      <c r="F23" s="88">
        <f t="shared" si="0"/>
        <v>104.30315999999999</v>
      </c>
      <c r="G23" s="89">
        <f t="shared" si="1"/>
        <v>0.76854959999999994</v>
      </c>
      <c r="H23" s="50" t="s">
        <v>212</v>
      </c>
      <c r="I23" s="87">
        <v>1</v>
      </c>
      <c r="J23" s="90" t="s">
        <v>149</v>
      </c>
    </row>
    <row r="24" spans="1:10" ht="26.25" x14ac:dyDescent="0.4">
      <c r="A24" s="87">
        <v>21</v>
      </c>
      <c r="B24" s="87" t="s">
        <v>231</v>
      </c>
      <c r="C24" s="87" t="s">
        <v>131</v>
      </c>
      <c r="D24" s="87">
        <v>8.7149999999999999</v>
      </c>
      <c r="E24" s="87">
        <v>70</v>
      </c>
      <c r="F24" s="88">
        <f t="shared" si="0"/>
        <v>93.80825999999999</v>
      </c>
      <c r="G24" s="89">
        <f t="shared" si="1"/>
        <v>0.69121875789473675</v>
      </c>
      <c r="H24" s="50" t="s">
        <v>212</v>
      </c>
      <c r="I24" s="87">
        <v>1</v>
      </c>
      <c r="J24" s="90" t="s">
        <v>149</v>
      </c>
    </row>
    <row r="25" spans="1:10" ht="26.25" x14ac:dyDescent="0.4">
      <c r="A25" s="87">
        <v>22</v>
      </c>
      <c r="B25" s="87" t="s">
        <v>232</v>
      </c>
      <c r="C25" s="87" t="s">
        <v>132</v>
      </c>
      <c r="D25" s="87">
        <v>15.9</v>
      </c>
      <c r="E25" s="87">
        <v>60</v>
      </c>
      <c r="F25" s="88">
        <f t="shared" si="0"/>
        <v>171.14759999999998</v>
      </c>
      <c r="G25" s="89">
        <f t="shared" si="1"/>
        <v>1.0809322105263157</v>
      </c>
      <c r="H25" s="50" t="s">
        <v>212</v>
      </c>
      <c r="I25" s="87">
        <v>1</v>
      </c>
      <c r="J25" s="90" t="s">
        <v>149</v>
      </c>
    </row>
    <row r="26" spans="1:10" ht="26.25" x14ac:dyDescent="0.4">
      <c r="A26" s="87">
        <v>23</v>
      </c>
      <c r="B26" s="87" t="s">
        <v>233</v>
      </c>
      <c r="C26" s="87" t="s">
        <v>153</v>
      </c>
      <c r="D26" s="87">
        <v>69.890649999999994</v>
      </c>
      <c r="E26" s="87"/>
      <c r="F26" s="88">
        <f t="shared" si="0"/>
        <v>752.3029565999999</v>
      </c>
      <c r="G26" s="89" t="s">
        <v>208</v>
      </c>
      <c r="H26" s="50" t="s">
        <v>208</v>
      </c>
      <c r="I26" s="87" t="s">
        <v>208</v>
      </c>
      <c r="J26" s="90" t="s">
        <v>208</v>
      </c>
    </row>
  </sheetData>
  <pageMargins left="0.7" right="0.7" top="0.75" bottom="0.75" header="0.3" footer="0.3"/>
  <pageSetup paperSize="2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8B508-517A-4B41-A28F-C0A6737223C1}">
  <dimension ref="A2:M38"/>
  <sheetViews>
    <sheetView zoomScale="70" zoomScaleNormal="70" workbookViewId="0">
      <selection activeCell="I6" sqref="I6"/>
    </sheetView>
  </sheetViews>
  <sheetFormatPr defaultColWidth="22.75" defaultRowHeight="23.25" x14ac:dyDescent="0.35"/>
  <cols>
    <col min="1" max="1" width="14.25" style="119" bestFit="1" customWidth="1"/>
    <col min="2" max="2" width="34.625" style="119" bestFit="1" customWidth="1"/>
    <col min="3" max="3" width="20.875" style="119" bestFit="1" customWidth="1"/>
    <col min="4" max="4" width="6.875" style="119" bestFit="1" customWidth="1"/>
    <col min="5" max="5" width="14.75" style="119" bestFit="1" customWidth="1"/>
    <col min="6" max="6" width="21" style="119" bestFit="1" customWidth="1"/>
    <col min="7" max="7" width="11.875" style="119" bestFit="1" customWidth="1"/>
    <col min="8" max="8" width="15.25" style="119" bestFit="1" customWidth="1"/>
    <col min="9" max="11" width="18.375" style="119" bestFit="1" customWidth="1"/>
    <col min="12" max="12" width="19.375" style="119" bestFit="1" customWidth="1"/>
    <col min="13" max="13" width="14.25" style="119" bestFit="1" customWidth="1"/>
    <col min="14" max="16384" width="22.75" style="119"/>
  </cols>
  <sheetData>
    <row r="2" spans="1:13" x14ac:dyDescent="0.35">
      <c r="A2" s="196" t="s">
        <v>187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</row>
    <row r="3" spans="1:13" x14ac:dyDescent="0.35">
      <c r="A3" s="197" t="s">
        <v>234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</row>
    <row r="4" spans="1:13" ht="45" x14ac:dyDescent="0.35">
      <c r="A4" s="198" t="s">
        <v>2</v>
      </c>
      <c r="B4" s="199" t="s">
        <v>3</v>
      </c>
      <c r="C4" s="199"/>
      <c r="D4" s="199" t="s">
        <v>4</v>
      </c>
      <c r="E4" s="122" t="s">
        <v>5</v>
      </c>
      <c r="F4" s="120" t="s">
        <v>6</v>
      </c>
      <c r="G4" s="122" t="s">
        <v>7</v>
      </c>
      <c r="H4" s="122" t="s">
        <v>8</v>
      </c>
      <c r="I4" s="123" t="s">
        <v>9</v>
      </c>
      <c r="J4" s="124" t="s">
        <v>9</v>
      </c>
      <c r="K4" s="125" t="s">
        <v>9</v>
      </c>
      <c r="L4" s="122" t="s">
        <v>10</v>
      </c>
      <c r="M4" s="121" t="s">
        <v>11</v>
      </c>
    </row>
    <row r="5" spans="1:13" x14ac:dyDescent="0.35">
      <c r="A5" s="198"/>
      <c r="B5" s="120" t="s">
        <v>12</v>
      </c>
      <c r="C5" s="120" t="s">
        <v>102</v>
      </c>
      <c r="D5" s="199"/>
      <c r="E5" s="122" t="s">
        <v>14</v>
      </c>
      <c r="F5" s="120" t="s">
        <v>15</v>
      </c>
      <c r="G5" s="120" t="s">
        <v>16</v>
      </c>
      <c r="H5" s="120" t="s">
        <v>17</v>
      </c>
      <c r="I5" s="126" t="s">
        <v>18</v>
      </c>
      <c r="J5" s="127" t="s">
        <v>19</v>
      </c>
      <c r="K5" s="128" t="s">
        <v>20</v>
      </c>
      <c r="L5" s="120" t="s">
        <v>388</v>
      </c>
      <c r="M5" s="121" t="s">
        <v>22</v>
      </c>
    </row>
    <row r="6" spans="1:13" x14ac:dyDescent="0.35">
      <c r="A6" s="190" t="s">
        <v>387</v>
      </c>
      <c r="B6" s="129" t="s">
        <v>109</v>
      </c>
      <c r="C6" s="130" t="s">
        <v>112</v>
      </c>
      <c r="D6" s="130">
        <v>5</v>
      </c>
      <c r="E6" s="130">
        <v>250</v>
      </c>
      <c r="F6" s="129">
        <f>E6*D6</f>
        <v>1250</v>
      </c>
      <c r="G6" s="131">
        <v>0.4</v>
      </c>
      <c r="H6" s="129">
        <f>F6*G6</f>
        <v>500</v>
      </c>
      <c r="I6" s="132">
        <f>(H6/(230*0.85))*1000</f>
        <v>2557.5447570332481</v>
      </c>
      <c r="J6" s="133"/>
      <c r="K6" s="134"/>
      <c r="L6" s="191">
        <v>32</v>
      </c>
      <c r="M6" s="192" t="s">
        <v>104</v>
      </c>
    </row>
    <row r="7" spans="1:13" x14ac:dyDescent="0.35">
      <c r="A7" s="190"/>
      <c r="B7" s="129" t="s">
        <v>114</v>
      </c>
      <c r="C7" s="130" t="s">
        <v>112</v>
      </c>
      <c r="D7" s="130">
        <v>2</v>
      </c>
      <c r="E7" s="130">
        <v>250</v>
      </c>
      <c r="F7" s="129">
        <f t="shared" ref="F7:F36" si="0">E7*D7</f>
        <v>500</v>
      </c>
      <c r="G7" s="131">
        <v>0.4</v>
      </c>
      <c r="H7" s="129">
        <f t="shared" ref="H7:H36" si="1">F7*G7</f>
        <v>200</v>
      </c>
      <c r="I7" s="132">
        <f t="shared" ref="I7:I36" si="2">(H7/(230*0.85))*1000</f>
        <v>1023.0179028132993</v>
      </c>
      <c r="J7" s="133"/>
      <c r="K7" s="134"/>
      <c r="L7" s="191"/>
      <c r="M7" s="192"/>
    </row>
    <row r="8" spans="1:13" x14ac:dyDescent="0.35">
      <c r="A8" s="190"/>
      <c r="B8" s="129" t="s">
        <v>124</v>
      </c>
      <c r="C8" s="130" t="s">
        <v>112</v>
      </c>
      <c r="D8" s="130">
        <v>3</v>
      </c>
      <c r="E8" s="130">
        <v>250</v>
      </c>
      <c r="F8" s="129">
        <f t="shared" si="0"/>
        <v>750</v>
      </c>
      <c r="G8" s="131">
        <v>0.4</v>
      </c>
      <c r="H8" s="129">
        <f t="shared" si="1"/>
        <v>300</v>
      </c>
      <c r="I8" s="132">
        <f t="shared" si="2"/>
        <v>1534.5268542199487</v>
      </c>
      <c r="J8" s="133"/>
      <c r="K8" s="134"/>
      <c r="L8" s="191"/>
      <c r="M8" s="192"/>
    </row>
    <row r="9" spans="1:13" x14ac:dyDescent="0.35">
      <c r="A9" s="129"/>
      <c r="B9" s="129"/>
      <c r="C9" s="130"/>
      <c r="D9" s="130"/>
      <c r="E9" s="130"/>
      <c r="F9" s="129"/>
      <c r="G9" s="131"/>
      <c r="H9" s="129"/>
      <c r="I9" s="132"/>
      <c r="J9" s="133"/>
      <c r="K9" s="134"/>
      <c r="L9" s="135"/>
      <c r="M9" s="135"/>
    </row>
    <row r="10" spans="1:13" x14ac:dyDescent="0.35">
      <c r="A10" s="200" t="s">
        <v>29</v>
      </c>
      <c r="B10" s="129" t="s">
        <v>115</v>
      </c>
      <c r="C10" s="130" t="s">
        <v>113</v>
      </c>
      <c r="D10" s="130">
        <v>5</v>
      </c>
      <c r="E10" s="130">
        <v>250</v>
      </c>
      <c r="F10" s="129">
        <f t="shared" si="0"/>
        <v>1250</v>
      </c>
      <c r="G10" s="131">
        <v>0.4</v>
      </c>
      <c r="H10" s="129">
        <f t="shared" si="1"/>
        <v>500</v>
      </c>
      <c r="I10" s="132"/>
      <c r="J10" s="133">
        <f t="shared" ref="J10:J31" si="3">(H10/(230*0.85))*1000</f>
        <v>2557.5447570332481</v>
      </c>
      <c r="K10" s="134"/>
      <c r="L10" s="191">
        <v>32</v>
      </c>
      <c r="M10" s="192" t="s">
        <v>104</v>
      </c>
    </row>
    <row r="11" spans="1:13" x14ac:dyDescent="0.35">
      <c r="A11" s="200"/>
      <c r="B11" s="135" t="s">
        <v>235</v>
      </c>
      <c r="C11" s="137" t="s">
        <v>236</v>
      </c>
      <c r="D11" s="130">
        <v>5</v>
      </c>
      <c r="E11" s="130">
        <v>250</v>
      </c>
      <c r="F11" s="129">
        <f t="shared" si="0"/>
        <v>1250</v>
      </c>
      <c r="G11" s="131">
        <v>0.4</v>
      </c>
      <c r="H11" s="129">
        <f t="shared" si="1"/>
        <v>500</v>
      </c>
      <c r="I11" s="132"/>
      <c r="J11" s="133">
        <f t="shared" si="3"/>
        <v>2557.5447570332481</v>
      </c>
      <c r="K11" s="134"/>
      <c r="L11" s="191"/>
      <c r="M11" s="192"/>
    </row>
    <row r="12" spans="1:13" x14ac:dyDescent="0.35">
      <c r="A12" s="135"/>
      <c r="B12" s="129"/>
      <c r="C12" s="130"/>
      <c r="D12" s="130"/>
      <c r="E12" s="130"/>
      <c r="F12" s="129"/>
      <c r="G12" s="131"/>
      <c r="H12" s="129"/>
      <c r="I12" s="132"/>
      <c r="J12" s="133"/>
      <c r="K12" s="134"/>
      <c r="L12" s="135"/>
      <c r="M12" s="135"/>
    </row>
    <row r="13" spans="1:13" x14ac:dyDescent="0.35">
      <c r="A13" s="201" t="s">
        <v>31</v>
      </c>
      <c r="B13" s="129" t="s">
        <v>111</v>
      </c>
      <c r="C13" s="130" t="s">
        <v>113</v>
      </c>
      <c r="D13" s="130">
        <v>5</v>
      </c>
      <c r="E13" s="130">
        <v>250</v>
      </c>
      <c r="F13" s="129">
        <f t="shared" si="0"/>
        <v>1250</v>
      </c>
      <c r="G13" s="131">
        <v>0.4</v>
      </c>
      <c r="H13" s="129">
        <f t="shared" si="1"/>
        <v>500</v>
      </c>
      <c r="I13" s="132"/>
      <c r="J13" s="133"/>
      <c r="K13" s="134">
        <f t="shared" ref="K13:K34" si="4">(H13/(230*0.85))*1000</f>
        <v>2557.5447570332481</v>
      </c>
      <c r="L13" s="191">
        <v>32</v>
      </c>
      <c r="M13" s="192" t="s">
        <v>104</v>
      </c>
    </row>
    <row r="14" spans="1:13" x14ac:dyDescent="0.35">
      <c r="A14" s="201"/>
      <c r="B14" s="129" t="s">
        <v>119</v>
      </c>
      <c r="C14" s="130" t="s">
        <v>113</v>
      </c>
      <c r="D14" s="130">
        <v>2</v>
      </c>
      <c r="E14" s="130">
        <v>250</v>
      </c>
      <c r="F14" s="129">
        <f t="shared" si="0"/>
        <v>500</v>
      </c>
      <c r="G14" s="131">
        <v>0.4</v>
      </c>
      <c r="H14" s="129">
        <f t="shared" si="1"/>
        <v>200</v>
      </c>
      <c r="I14" s="132"/>
      <c r="J14" s="133"/>
      <c r="K14" s="134">
        <f t="shared" si="4"/>
        <v>1023.0179028132993</v>
      </c>
      <c r="L14" s="191"/>
      <c r="M14" s="192"/>
    </row>
    <row r="15" spans="1:13" x14ac:dyDescent="0.35">
      <c r="A15" s="201"/>
      <c r="B15" s="129" t="s">
        <v>116</v>
      </c>
      <c r="C15" s="130" t="s">
        <v>113</v>
      </c>
      <c r="D15" s="130">
        <v>3</v>
      </c>
      <c r="E15" s="130">
        <v>250</v>
      </c>
      <c r="F15" s="129">
        <f t="shared" si="0"/>
        <v>750</v>
      </c>
      <c r="G15" s="131">
        <v>0.4</v>
      </c>
      <c r="H15" s="129">
        <f t="shared" si="1"/>
        <v>300</v>
      </c>
      <c r="I15" s="132"/>
      <c r="J15" s="133"/>
      <c r="K15" s="134">
        <f t="shared" si="4"/>
        <v>1534.5268542199487</v>
      </c>
      <c r="L15" s="191"/>
      <c r="M15" s="192"/>
    </row>
    <row r="16" spans="1:13" x14ac:dyDescent="0.35">
      <c r="A16" s="129"/>
      <c r="B16" s="129"/>
      <c r="C16" s="130"/>
      <c r="D16" s="130"/>
      <c r="E16" s="130"/>
      <c r="F16" s="129"/>
      <c r="G16" s="131"/>
      <c r="H16" s="129"/>
      <c r="I16" s="132"/>
      <c r="J16" s="133"/>
      <c r="K16" s="134"/>
      <c r="L16" s="130"/>
      <c r="M16" s="129"/>
    </row>
    <row r="17" spans="1:13" x14ac:dyDescent="0.35">
      <c r="A17" s="132" t="s">
        <v>34</v>
      </c>
      <c r="B17" s="135" t="s">
        <v>121</v>
      </c>
      <c r="C17" s="137" t="s">
        <v>237</v>
      </c>
      <c r="D17" s="130">
        <v>10</v>
      </c>
      <c r="E17" s="130">
        <v>250</v>
      </c>
      <c r="F17" s="129">
        <f t="shared" si="0"/>
        <v>2500</v>
      </c>
      <c r="G17" s="131">
        <v>0.4</v>
      </c>
      <c r="H17" s="129">
        <f t="shared" si="1"/>
        <v>1000</v>
      </c>
      <c r="I17" s="132">
        <f t="shared" si="2"/>
        <v>5115.0895140664961</v>
      </c>
      <c r="J17" s="133"/>
      <c r="K17" s="134"/>
      <c r="L17" s="130">
        <v>32</v>
      </c>
      <c r="M17" s="129" t="s">
        <v>104</v>
      </c>
    </row>
    <row r="18" spans="1:13" x14ac:dyDescent="0.35">
      <c r="A18" s="135"/>
      <c r="B18" s="129"/>
      <c r="C18" s="130"/>
      <c r="D18" s="130"/>
      <c r="E18" s="130"/>
      <c r="F18" s="129"/>
      <c r="G18" s="131"/>
      <c r="H18" s="129"/>
      <c r="I18" s="132"/>
      <c r="J18" s="133"/>
      <c r="K18" s="134"/>
      <c r="L18" s="130"/>
      <c r="M18" s="129"/>
    </row>
    <row r="19" spans="1:13" x14ac:dyDescent="0.35">
      <c r="A19" s="136" t="s">
        <v>36</v>
      </c>
      <c r="B19" s="129" t="s">
        <v>238</v>
      </c>
      <c r="C19" s="130" t="s">
        <v>113</v>
      </c>
      <c r="D19" s="130">
        <v>8</v>
      </c>
      <c r="E19" s="130">
        <v>250</v>
      </c>
      <c r="F19" s="129">
        <f t="shared" si="0"/>
        <v>2000</v>
      </c>
      <c r="G19" s="131">
        <v>0.4</v>
      </c>
      <c r="H19" s="129">
        <f t="shared" si="1"/>
        <v>800</v>
      </c>
      <c r="I19" s="132"/>
      <c r="J19" s="133">
        <f t="shared" si="3"/>
        <v>4092.0716112531973</v>
      </c>
      <c r="K19" s="134"/>
      <c r="L19" s="130">
        <v>32</v>
      </c>
      <c r="M19" s="129" t="s">
        <v>104</v>
      </c>
    </row>
    <row r="20" spans="1:13" x14ac:dyDescent="0.35">
      <c r="A20" s="129"/>
      <c r="B20" s="129"/>
      <c r="C20" s="130"/>
      <c r="D20" s="130"/>
      <c r="E20" s="130"/>
      <c r="F20" s="129"/>
      <c r="G20" s="131"/>
      <c r="H20" s="129"/>
      <c r="I20" s="132"/>
      <c r="J20" s="133"/>
      <c r="K20" s="134"/>
      <c r="L20" s="135"/>
      <c r="M20" s="135"/>
    </row>
    <row r="21" spans="1:13" x14ac:dyDescent="0.35">
      <c r="A21" s="201" t="s">
        <v>38</v>
      </c>
      <c r="B21" s="129" t="s">
        <v>122</v>
      </c>
      <c r="C21" s="130" t="s">
        <v>113</v>
      </c>
      <c r="D21" s="130">
        <v>3</v>
      </c>
      <c r="E21" s="130">
        <v>250</v>
      </c>
      <c r="F21" s="129">
        <f t="shared" si="0"/>
        <v>750</v>
      </c>
      <c r="G21" s="131">
        <v>0.4</v>
      </c>
      <c r="H21" s="129">
        <f t="shared" si="1"/>
        <v>300</v>
      </c>
      <c r="I21" s="132"/>
      <c r="J21" s="133"/>
      <c r="K21" s="134">
        <f t="shared" si="4"/>
        <v>1534.5268542199487</v>
      </c>
      <c r="L21" s="191">
        <v>32</v>
      </c>
      <c r="M21" s="192" t="s">
        <v>104</v>
      </c>
    </row>
    <row r="22" spans="1:13" x14ac:dyDescent="0.35">
      <c r="A22" s="201"/>
      <c r="B22" s="129" t="s">
        <v>239</v>
      </c>
      <c r="C22" s="130" t="s">
        <v>113</v>
      </c>
      <c r="D22" s="130">
        <v>3</v>
      </c>
      <c r="E22" s="130">
        <v>250</v>
      </c>
      <c r="F22" s="129">
        <f t="shared" si="0"/>
        <v>750</v>
      </c>
      <c r="G22" s="131">
        <v>0.4</v>
      </c>
      <c r="H22" s="129">
        <f t="shared" si="1"/>
        <v>300</v>
      </c>
      <c r="I22" s="132"/>
      <c r="J22" s="133"/>
      <c r="K22" s="134">
        <f t="shared" si="4"/>
        <v>1534.5268542199487</v>
      </c>
      <c r="L22" s="191"/>
      <c r="M22" s="192"/>
    </row>
    <row r="23" spans="1:13" x14ac:dyDescent="0.35">
      <c r="A23" s="201"/>
      <c r="B23" s="129" t="s">
        <v>127</v>
      </c>
      <c r="C23" s="130" t="s">
        <v>113</v>
      </c>
      <c r="D23" s="130">
        <v>1</v>
      </c>
      <c r="E23" s="130">
        <v>250</v>
      </c>
      <c r="F23" s="129">
        <f t="shared" si="0"/>
        <v>250</v>
      </c>
      <c r="G23" s="131">
        <v>0.4</v>
      </c>
      <c r="H23" s="129">
        <f t="shared" si="1"/>
        <v>100</v>
      </c>
      <c r="I23" s="132"/>
      <c r="J23" s="133"/>
      <c r="K23" s="134">
        <f t="shared" si="4"/>
        <v>511.50895140664966</v>
      </c>
      <c r="L23" s="191"/>
      <c r="M23" s="192"/>
    </row>
    <row r="24" spans="1:13" x14ac:dyDescent="0.35">
      <c r="A24" s="201"/>
      <c r="B24" s="129" t="s">
        <v>128</v>
      </c>
      <c r="C24" s="130" t="s">
        <v>113</v>
      </c>
      <c r="D24" s="130">
        <v>2</v>
      </c>
      <c r="E24" s="130">
        <v>250</v>
      </c>
      <c r="F24" s="129">
        <f t="shared" si="0"/>
        <v>500</v>
      </c>
      <c r="G24" s="131">
        <v>0.4</v>
      </c>
      <c r="H24" s="129">
        <f t="shared" si="1"/>
        <v>200</v>
      </c>
      <c r="I24" s="132"/>
      <c r="J24" s="133"/>
      <c r="K24" s="134">
        <f t="shared" si="4"/>
        <v>1023.0179028132993</v>
      </c>
      <c r="L24" s="191"/>
      <c r="M24" s="192"/>
    </row>
    <row r="25" spans="1:13" x14ac:dyDescent="0.35">
      <c r="A25" s="129"/>
      <c r="B25" s="129"/>
      <c r="C25" s="130"/>
      <c r="D25" s="130"/>
      <c r="E25" s="130"/>
      <c r="F25" s="129"/>
      <c r="G25" s="131"/>
      <c r="H25" s="129"/>
      <c r="I25" s="132"/>
      <c r="J25" s="133"/>
      <c r="K25" s="134"/>
      <c r="L25" s="130"/>
      <c r="M25" s="129"/>
    </row>
    <row r="26" spans="1:13" x14ac:dyDescent="0.35">
      <c r="A26" s="190" t="s">
        <v>386</v>
      </c>
      <c r="B26" s="129" t="s">
        <v>240</v>
      </c>
      <c r="C26" s="130" t="s">
        <v>113</v>
      </c>
      <c r="D26" s="130">
        <v>3</v>
      </c>
      <c r="E26" s="130">
        <v>250</v>
      </c>
      <c r="F26" s="129">
        <f t="shared" si="0"/>
        <v>750</v>
      </c>
      <c r="G26" s="131">
        <v>0.4</v>
      </c>
      <c r="H26" s="129">
        <f t="shared" si="1"/>
        <v>300</v>
      </c>
      <c r="I26" s="132">
        <f t="shared" si="2"/>
        <v>1534.5268542199487</v>
      </c>
      <c r="J26" s="133"/>
      <c r="K26" s="134"/>
      <c r="L26" s="191">
        <v>32</v>
      </c>
      <c r="M26" s="192" t="s">
        <v>104</v>
      </c>
    </row>
    <row r="27" spans="1:13" x14ac:dyDescent="0.35">
      <c r="A27" s="190"/>
      <c r="B27" s="135" t="s">
        <v>241</v>
      </c>
      <c r="C27" s="130" t="s">
        <v>113</v>
      </c>
      <c r="D27" s="130">
        <v>3</v>
      </c>
      <c r="E27" s="130">
        <v>250</v>
      </c>
      <c r="F27" s="129">
        <f t="shared" si="0"/>
        <v>750</v>
      </c>
      <c r="G27" s="131">
        <v>0.4</v>
      </c>
      <c r="H27" s="129">
        <f t="shared" si="1"/>
        <v>300</v>
      </c>
      <c r="I27" s="132">
        <f t="shared" si="2"/>
        <v>1534.5268542199487</v>
      </c>
      <c r="J27" s="133"/>
      <c r="K27" s="134"/>
      <c r="L27" s="191"/>
      <c r="M27" s="192"/>
    </row>
    <row r="28" spans="1:13" x14ac:dyDescent="0.35">
      <c r="A28" s="129"/>
      <c r="B28" s="129"/>
      <c r="C28" s="130"/>
      <c r="D28" s="130"/>
      <c r="E28" s="130"/>
      <c r="F28" s="129"/>
      <c r="G28" s="131"/>
      <c r="H28" s="129"/>
      <c r="I28" s="132"/>
      <c r="J28" s="133"/>
      <c r="K28" s="134"/>
      <c r="L28" s="130"/>
      <c r="M28" s="129"/>
    </row>
    <row r="29" spans="1:13" x14ac:dyDescent="0.35">
      <c r="A29" s="200" t="s">
        <v>43</v>
      </c>
      <c r="B29" s="129" t="s">
        <v>126</v>
      </c>
      <c r="C29" s="130" t="s">
        <v>113</v>
      </c>
      <c r="D29" s="130">
        <v>3</v>
      </c>
      <c r="E29" s="130">
        <v>250</v>
      </c>
      <c r="F29" s="129">
        <f t="shared" si="0"/>
        <v>750</v>
      </c>
      <c r="G29" s="131">
        <v>0.4</v>
      </c>
      <c r="H29" s="129">
        <f t="shared" si="1"/>
        <v>300</v>
      </c>
      <c r="I29" s="132"/>
      <c r="J29" s="133">
        <f t="shared" si="3"/>
        <v>1534.5268542199487</v>
      </c>
      <c r="K29" s="134"/>
      <c r="L29" s="191">
        <v>32</v>
      </c>
      <c r="M29" s="192" t="s">
        <v>104</v>
      </c>
    </row>
    <row r="30" spans="1:13" x14ac:dyDescent="0.35">
      <c r="A30" s="200"/>
      <c r="B30" s="129" t="s">
        <v>242</v>
      </c>
      <c r="C30" s="130" t="s">
        <v>113</v>
      </c>
      <c r="D30" s="130">
        <v>4</v>
      </c>
      <c r="E30" s="130">
        <v>250</v>
      </c>
      <c r="F30" s="129">
        <f t="shared" si="0"/>
        <v>1000</v>
      </c>
      <c r="G30" s="131">
        <v>0.4</v>
      </c>
      <c r="H30" s="129">
        <f t="shared" si="1"/>
        <v>400</v>
      </c>
      <c r="I30" s="132"/>
      <c r="J30" s="133">
        <f t="shared" si="3"/>
        <v>2046.0358056265986</v>
      </c>
      <c r="K30" s="134"/>
      <c r="L30" s="191"/>
      <c r="M30" s="192"/>
    </row>
    <row r="31" spans="1:13" x14ac:dyDescent="0.35">
      <c r="A31" s="200"/>
      <c r="B31" s="129" t="s">
        <v>125</v>
      </c>
      <c r="C31" s="130" t="s">
        <v>113</v>
      </c>
      <c r="D31" s="130">
        <v>3</v>
      </c>
      <c r="E31" s="130">
        <v>250</v>
      </c>
      <c r="F31" s="129">
        <f t="shared" si="0"/>
        <v>750</v>
      </c>
      <c r="G31" s="131">
        <v>0.4</v>
      </c>
      <c r="H31" s="129">
        <f t="shared" si="1"/>
        <v>300</v>
      </c>
      <c r="I31" s="132"/>
      <c r="J31" s="133">
        <f t="shared" si="3"/>
        <v>1534.5268542199487</v>
      </c>
      <c r="K31" s="134"/>
      <c r="L31" s="191"/>
      <c r="M31" s="192"/>
    </row>
    <row r="32" spans="1:13" x14ac:dyDescent="0.35">
      <c r="A32" s="135"/>
      <c r="B32" s="129"/>
      <c r="C32" s="130"/>
      <c r="D32" s="130"/>
      <c r="E32" s="130"/>
      <c r="F32" s="129"/>
      <c r="G32" s="131"/>
      <c r="H32" s="129"/>
      <c r="I32" s="132"/>
      <c r="J32" s="133"/>
      <c r="K32" s="134"/>
      <c r="L32" s="130"/>
      <c r="M32" s="135"/>
    </row>
    <row r="33" spans="1:13" x14ac:dyDescent="0.35">
      <c r="A33" s="201" t="s">
        <v>48</v>
      </c>
      <c r="B33" s="129" t="s">
        <v>243</v>
      </c>
      <c r="C33" s="130" t="s">
        <v>113</v>
      </c>
      <c r="D33" s="130">
        <v>2</v>
      </c>
      <c r="E33" s="130">
        <v>250</v>
      </c>
      <c r="F33" s="129">
        <f t="shared" si="0"/>
        <v>500</v>
      </c>
      <c r="G33" s="131">
        <v>0.4</v>
      </c>
      <c r="H33" s="129">
        <f t="shared" si="1"/>
        <v>200</v>
      </c>
      <c r="I33" s="132"/>
      <c r="J33" s="133"/>
      <c r="K33" s="134">
        <f t="shared" si="4"/>
        <v>1023.0179028132993</v>
      </c>
      <c r="L33" s="191">
        <v>32</v>
      </c>
      <c r="M33" s="192" t="s">
        <v>104</v>
      </c>
    </row>
    <row r="34" spans="1:13" x14ac:dyDescent="0.35">
      <c r="A34" s="201"/>
      <c r="B34" s="129" t="s">
        <v>244</v>
      </c>
      <c r="C34" s="130" t="s">
        <v>113</v>
      </c>
      <c r="D34" s="130">
        <v>5</v>
      </c>
      <c r="E34" s="130">
        <v>250</v>
      </c>
      <c r="F34" s="129">
        <f t="shared" si="0"/>
        <v>1250</v>
      </c>
      <c r="G34" s="131">
        <v>0.4</v>
      </c>
      <c r="H34" s="129">
        <f t="shared" si="1"/>
        <v>500</v>
      </c>
      <c r="I34" s="132"/>
      <c r="J34" s="133"/>
      <c r="K34" s="134">
        <f t="shared" si="4"/>
        <v>2557.5447570332481</v>
      </c>
      <c r="L34" s="191"/>
      <c r="M34" s="192"/>
    </row>
    <row r="35" spans="1:13" x14ac:dyDescent="0.35">
      <c r="A35" s="129"/>
      <c r="B35" s="129"/>
      <c r="C35" s="138"/>
      <c r="D35" s="130"/>
      <c r="E35" s="130"/>
      <c r="F35" s="129"/>
      <c r="G35" s="135"/>
      <c r="H35" s="129"/>
      <c r="I35" s="132"/>
      <c r="J35" s="133"/>
      <c r="K35" s="134"/>
      <c r="L35" s="137"/>
      <c r="M35" s="135"/>
    </row>
    <row r="36" spans="1:13" x14ac:dyDescent="0.35">
      <c r="A36" s="132" t="s">
        <v>57</v>
      </c>
      <c r="B36" s="129" t="s">
        <v>118</v>
      </c>
      <c r="C36" s="135" t="s">
        <v>113</v>
      </c>
      <c r="D36" s="130">
        <v>4</v>
      </c>
      <c r="E36" s="130">
        <v>250</v>
      </c>
      <c r="F36" s="129">
        <f t="shared" si="0"/>
        <v>1000</v>
      </c>
      <c r="G36" s="131">
        <v>0.4</v>
      </c>
      <c r="H36" s="129">
        <f t="shared" si="1"/>
        <v>400</v>
      </c>
      <c r="I36" s="132">
        <f t="shared" si="2"/>
        <v>2046.0358056265986</v>
      </c>
      <c r="J36" s="133"/>
      <c r="K36" s="134"/>
      <c r="L36" s="137">
        <v>32</v>
      </c>
      <c r="M36" s="135" t="s">
        <v>104</v>
      </c>
    </row>
    <row r="37" spans="1:13" x14ac:dyDescent="0.35">
      <c r="A37" s="129"/>
      <c r="B37" s="129"/>
      <c r="C37" s="139"/>
      <c r="D37" s="129"/>
      <c r="E37" s="129"/>
      <c r="F37" s="129"/>
      <c r="G37" s="129"/>
      <c r="H37" s="129"/>
      <c r="I37" s="132"/>
      <c r="J37" s="133"/>
      <c r="K37" s="134"/>
      <c r="L37" s="129"/>
      <c r="M37" s="129"/>
    </row>
    <row r="38" spans="1:13" x14ac:dyDescent="0.35">
      <c r="A38" s="193" t="s">
        <v>108</v>
      </c>
      <c r="B38" s="194"/>
      <c r="C38" s="195"/>
      <c r="D38" s="140">
        <f>SUM(D6:D37)</f>
        <v>84</v>
      </c>
      <c r="E38" s="141">
        <f>SUM(E6:E37)</f>
        <v>5500</v>
      </c>
      <c r="F38" s="141">
        <f>SUM(F6:F37)</f>
        <v>21000</v>
      </c>
      <c r="G38" s="141"/>
      <c r="H38" s="141">
        <f>SUM(H6:H37)</f>
        <v>8400</v>
      </c>
      <c r="I38" s="138">
        <f>SUM(I6:I35)</f>
        <v>13299.232736572889</v>
      </c>
      <c r="J38" s="138">
        <f>SUM(J6:J35)</f>
        <v>14322.250639386188</v>
      </c>
      <c r="K38" s="138">
        <f>SUM(K6:K35)</f>
        <v>13299.232736572889</v>
      </c>
      <c r="L38" s="129"/>
      <c r="M38" s="129"/>
    </row>
  </sheetData>
  <mergeCells count="27">
    <mergeCell ref="A29:A31"/>
    <mergeCell ref="L29:L31"/>
    <mergeCell ref="M29:M31"/>
    <mergeCell ref="A33:A34"/>
    <mergeCell ref="L33:L34"/>
    <mergeCell ref="M33:M34"/>
    <mergeCell ref="L21:L24"/>
    <mergeCell ref="M21:M24"/>
    <mergeCell ref="A26:A27"/>
    <mergeCell ref="L26:L27"/>
    <mergeCell ref="M26:M27"/>
    <mergeCell ref="A6:A8"/>
    <mergeCell ref="L6:L8"/>
    <mergeCell ref="M6:M8"/>
    <mergeCell ref="A38:C38"/>
    <mergeCell ref="A2:M2"/>
    <mergeCell ref="A3:M3"/>
    <mergeCell ref="A4:A5"/>
    <mergeCell ref="B4:C4"/>
    <mergeCell ref="D4:D5"/>
    <mergeCell ref="A10:A11"/>
    <mergeCell ref="L10:L11"/>
    <mergeCell ref="M10:M11"/>
    <mergeCell ref="A13:A15"/>
    <mergeCell ref="L13:L15"/>
    <mergeCell ref="M13:M15"/>
    <mergeCell ref="A21:A24"/>
  </mergeCells>
  <pageMargins left="0.7" right="0.7" top="0.75" bottom="0.75" header="0.3" footer="0.3"/>
  <pageSetup paperSize="14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0BA0-9287-4A58-9A7D-EEDFE5BE762A}">
  <dimension ref="A1:M41"/>
  <sheetViews>
    <sheetView topLeftCell="A7" zoomScale="55" zoomScaleNormal="55" workbookViewId="0">
      <selection activeCell="K41" sqref="K41"/>
    </sheetView>
  </sheetViews>
  <sheetFormatPr defaultRowHeight="15.75" x14ac:dyDescent="0.25"/>
  <cols>
    <col min="1" max="1" width="18.125" bestFit="1" customWidth="1"/>
    <col min="2" max="2" width="39.625" bestFit="1" customWidth="1"/>
    <col min="3" max="3" width="43.125" bestFit="1" customWidth="1"/>
    <col min="4" max="4" width="8.75" bestFit="1" customWidth="1"/>
    <col min="5" max="5" width="18.75" bestFit="1" customWidth="1"/>
    <col min="6" max="6" width="27" bestFit="1" customWidth="1"/>
    <col min="7" max="7" width="15.375" bestFit="1" customWidth="1"/>
    <col min="8" max="8" width="19.625" bestFit="1" customWidth="1"/>
    <col min="9" max="11" width="23.5" bestFit="1" customWidth="1"/>
    <col min="12" max="12" width="25.75" bestFit="1" customWidth="1"/>
    <col min="13" max="13" width="10.125" bestFit="1" customWidth="1"/>
    <col min="15" max="15" width="49.5" customWidth="1"/>
  </cols>
  <sheetData>
    <row r="1" spans="1:13" ht="25.5" x14ac:dyDescent="0.25">
      <c r="A1" s="173" t="s">
        <v>187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</row>
    <row r="2" spans="1:13" ht="25.5" x14ac:dyDescent="0.35">
      <c r="A2" s="176" t="s">
        <v>234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</row>
    <row r="3" spans="1:13" ht="51" x14ac:dyDescent="0.35">
      <c r="A3" s="149" t="s">
        <v>2</v>
      </c>
      <c r="B3" s="150" t="s">
        <v>3</v>
      </c>
      <c r="C3" s="150"/>
      <c r="D3" s="150" t="s">
        <v>4</v>
      </c>
      <c r="E3" s="3" t="s">
        <v>5</v>
      </c>
      <c r="F3" s="4" t="s">
        <v>6</v>
      </c>
      <c r="G3" s="3" t="s">
        <v>7</v>
      </c>
      <c r="H3" s="3" t="s">
        <v>8</v>
      </c>
      <c r="I3" s="5" t="s">
        <v>9</v>
      </c>
      <c r="J3" s="6" t="s">
        <v>9</v>
      </c>
      <c r="K3" s="7" t="s">
        <v>9</v>
      </c>
      <c r="L3" s="3" t="s">
        <v>10</v>
      </c>
      <c r="M3" s="8" t="s">
        <v>11</v>
      </c>
    </row>
    <row r="4" spans="1:13" ht="25.5" x14ac:dyDescent="0.35">
      <c r="A4" s="149"/>
      <c r="B4" s="4" t="s">
        <v>12</v>
      </c>
      <c r="C4" s="4" t="s">
        <v>245</v>
      </c>
      <c r="D4" s="150"/>
      <c r="E4" s="3" t="s">
        <v>14</v>
      </c>
      <c r="F4" s="4" t="s">
        <v>15</v>
      </c>
      <c r="G4" s="4" t="s">
        <v>16</v>
      </c>
      <c r="H4" s="4" t="s">
        <v>17</v>
      </c>
      <c r="I4" s="12" t="s">
        <v>18</v>
      </c>
      <c r="J4" s="13" t="s">
        <v>19</v>
      </c>
      <c r="K4" s="14" t="s">
        <v>20</v>
      </c>
      <c r="L4" s="4" t="s">
        <v>21</v>
      </c>
      <c r="M4" s="8" t="s">
        <v>22</v>
      </c>
    </row>
    <row r="5" spans="1:13" ht="26.25" x14ac:dyDescent="0.4">
      <c r="A5" s="38" t="s">
        <v>23</v>
      </c>
      <c r="B5" s="15" t="s">
        <v>109</v>
      </c>
      <c r="C5" s="15" t="s">
        <v>142</v>
      </c>
      <c r="D5" s="15">
        <v>1</v>
      </c>
      <c r="E5" s="15">
        <v>1730</v>
      </c>
      <c r="F5" s="15">
        <f>E5*D5</f>
        <v>1730</v>
      </c>
      <c r="G5" s="15">
        <v>1</v>
      </c>
      <c r="H5" s="16">
        <f>F5*'[1]AC  2-FLOOR-GREEN'!G6</f>
        <v>1730</v>
      </c>
      <c r="I5" s="49">
        <f>(H5/(230*0.85))*1000</f>
        <v>8849.1048593350388</v>
      </c>
      <c r="J5" s="52"/>
      <c r="K5" s="54"/>
      <c r="L5" s="15">
        <v>32</v>
      </c>
      <c r="M5" s="15" t="s">
        <v>247</v>
      </c>
    </row>
    <row r="6" spans="1:13" ht="26.25" x14ac:dyDescent="0.4">
      <c r="A6" s="35"/>
      <c r="B6" s="15"/>
      <c r="C6" s="15"/>
      <c r="D6" s="15"/>
      <c r="E6" s="15"/>
      <c r="F6" s="15"/>
      <c r="G6" s="15"/>
      <c r="H6" s="16"/>
      <c r="I6" s="49"/>
      <c r="J6" s="52"/>
      <c r="K6" s="54"/>
      <c r="L6" s="15"/>
      <c r="M6" s="15"/>
    </row>
    <row r="7" spans="1:13" ht="26.25" x14ac:dyDescent="0.4">
      <c r="A7" s="37" t="s">
        <v>29</v>
      </c>
      <c r="B7" s="15" t="s">
        <v>246</v>
      </c>
      <c r="C7" s="15" t="s">
        <v>142</v>
      </c>
      <c r="D7" s="15">
        <v>1</v>
      </c>
      <c r="E7" s="15">
        <v>1730</v>
      </c>
      <c r="F7" s="15">
        <v>1730</v>
      </c>
      <c r="G7" s="15">
        <v>1</v>
      </c>
      <c r="H7" s="16">
        <f t="shared" ref="H7:H39" si="0">F7*G7</f>
        <v>1730</v>
      </c>
      <c r="I7" s="49"/>
      <c r="J7" s="52">
        <f t="shared" ref="J7:J37" si="1">(H7/(230*0.85))*1000</f>
        <v>8849.1048593350388</v>
      </c>
      <c r="K7" s="54"/>
      <c r="L7" s="15">
        <v>32</v>
      </c>
      <c r="M7" s="15" t="s">
        <v>247</v>
      </c>
    </row>
    <row r="8" spans="1:13" ht="26.25" x14ac:dyDescent="0.4">
      <c r="A8" s="21"/>
      <c r="B8" s="15"/>
      <c r="C8" s="15"/>
      <c r="D8" s="15"/>
      <c r="E8" s="15"/>
      <c r="F8" s="15"/>
      <c r="G8" s="15"/>
      <c r="H8" s="16"/>
      <c r="I8" s="49"/>
      <c r="J8" s="52"/>
      <c r="K8" s="54"/>
      <c r="L8" s="15"/>
      <c r="M8" s="15"/>
    </row>
    <row r="9" spans="1:13" ht="26.25" x14ac:dyDescent="0.4">
      <c r="A9" s="36" t="s">
        <v>31</v>
      </c>
      <c r="B9" s="15" t="s">
        <v>248</v>
      </c>
      <c r="C9" s="15" t="s">
        <v>142</v>
      </c>
      <c r="D9" s="15">
        <v>1</v>
      </c>
      <c r="E9" s="15">
        <v>1730</v>
      </c>
      <c r="F9" s="15">
        <v>1730</v>
      </c>
      <c r="G9" s="15">
        <v>1</v>
      </c>
      <c r="H9" s="16">
        <f t="shared" si="0"/>
        <v>1730</v>
      </c>
      <c r="I9" s="49"/>
      <c r="J9" s="52"/>
      <c r="K9" s="54">
        <f t="shared" ref="K9:K39" si="2">(H9/(230*0.85))*1000</f>
        <v>8849.1048593350388</v>
      </c>
      <c r="L9" s="15">
        <v>32</v>
      </c>
      <c r="M9" s="15" t="s">
        <v>247</v>
      </c>
    </row>
    <row r="10" spans="1:13" ht="26.25" x14ac:dyDescent="0.4">
      <c r="A10" s="35"/>
      <c r="B10" s="15"/>
      <c r="C10" s="15"/>
      <c r="D10" s="15"/>
      <c r="E10" s="15"/>
      <c r="F10" s="15"/>
      <c r="G10" s="15"/>
      <c r="H10" s="16"/>
      <c r="I10" s="49"/>
      <c r="J10" s="52"/>
      <c r="K10" s="54"/>
      <c r="L10" s="15"/>
      <c r="M10" s="15"/>
    </row>
    <row r="11" spans="1:13" ht="26.25" x14ac:dyDescent="0.4">
      <c r="A11" s="38" t="s">
        <v>34</v>
      </c>
      <c r="B11" s="95" t="s">
        <v>249</v>
      </c>
      <c r="C11" s="15" t="s">
        <v>142</v>
      </c>
      <c r="D11" s="15">
        <v>1</v>
      </c>
      <c r="E11" s="15">
        <v>1730</v>
      </c>
      <c r="F11" s="15">
        <v>1730</v>
      </c>
      <c r="G11" s="15">
        <v>1</v>
      </c>
      <c r="H11" s="16">
        <f t="shared" si="0"/>
        <v>1730</v>
      </c>
      <c r="I11" s="49">
        <f t="shared" ref="I11:I35" si="3">(H11/(230*0.85))*1000</f>
        <v>8849.1048593350388</v>
      </c>
      <c r="J11" s="52"/>
      <c r="K11" s="54"/>
      <c r="L11" s="15">
        <v>32</v>
      </c>
      <c r="M11" s="15" t="s">
        <v>247</v>
      </c>
    </row>
    <row r="12" spans="1:13" ht="26.25" x14ac:dyDescent="0.4">
      <c r="A12" s="21"/>
      <c r="B12" s="15"/>
      <c r="C12" s="15"/>
      <c r="D12" s="15"/>
      <c r="E12" s="15"/>
      <c r="F12" s="15"/>
      <c r="G12" s="15"/>
      <c r="H12" s="16"/>
      <c r="I12" s="49"/>
      <c r="J12" s="52"/>
      <c r="K12" s="54"/>
      <c r="L12" s="15"/>
      <c r="M12" s="15"/>
    </row>
    <row r="13" spans="1:13" ht="26.25" x14ac:dyDescent="0.4">
      <c r="A13" s="37" t="s">
        <v>36</v>
      </c>
      <c r="B13" s="15" t="s">
        <v>250</v>
      </c>
      <c r="C13" s="15" t="s">
        <v>139</v>
      </c>
      <c r="D13" s="15">
        <v>1</v>
      </c>
      <c r="E13" s="15">
        <v>1090</v>
      </c>
      <c r="F13" s="15">
        <v>1090</v>
      </c>
      <c r="G13" s="15">
        <v>1</v>
      </c>
      <c r="H13" s="16">
        <f t="shared" si="0"/>
        <v>1090</v>
      </c>
      <c r="I13" s="49"/>
      <c r="J13" s="52">
        <f t="shared" si="1"/>
        <v>5575.4475703324806</v>
      </c>
      <c r="K13" s="54"/>
      <c r="L13" s="15">
        <v>32</v>
      </c>
      <c r="M13" s="15" t="s">
        <v>247</v>
      </c>
    </row>
    <row r="14" spans="1:13" ht="26.25" x14ac:dyDescent="0.4">
      <c r="A14" s="35"/>
      <c r="B14" s="15"/>
      <c r="C14" s="15"/>
      <c r="D14" s="15"/>
      <c r="E14" s="15"/>
      <c r="F14" s="15"/>
      <c r="G14" s="15"/>
      <c r="H14" s="16"/>
      <c r="I14" s="49"/>
      <c r="J14" s="52"/>
      <c r="K14" s="54"/>
      <c r="L14" s="15"/>
      <c r="M14" s="15"/>
    </row>
    <row r="15" spans="1:13" ht="26.25" x14ac:dyDescent="0.4">
      <c r="A15" s="54" t="s">
        <v>38</v>
      </c>
      <c r="B15" s="15" t="s">
        <v>252</v>
      </c>
      <c r="C15" s="15" t="s">
        <v>143</v>
      </c>
      <c r="D15" s="15">
        <v>1</v>
      </c>
      <c r="E15" s="15">
        <v>850</v>
      </c>
      <c r="F15" s="15">
        <v>850</v>
      </c>
      <c r="G15" s="15">
        <v>1</v>
      </c>
      <c r="H15" s="16">
        <f>F15*G15</f>
        <v>850</v>
      </c>
      <c r="I15" s="49"/>
      <c r="J15" s="52"/>
      <c r="K15" s="54">
        <f t="shared" si="2"/>
        <v>4347.8260869565211</v>
      </c>
      <c r="L15" s="15">
        <v>32</v>
      </c>
      <c r="M15" s="15" t="s">
        <v>247</v>
      </c>
    </row>
    <row r="16" spans="1:13" ht="26.25" x14ac:dyDescent="0.4">
      <c r="A16" s="142"/>
      <c r="B16" s="142"/>
      <c r="C16" s="142"/>
      <c r="D16" s="142"/>
      <c r="E16" s="142"/>
      <c r="F16" s="142"/>
      <c r="G16" s="142"/>
      <c r="H16" s="142"/>
      <c r="I16" s="49"/>
      <c r="J16" s="52"/>
      <c r="K16" s="54"/>
      <c r="L16" s="142"/>
      <c r="M16" s="142"/>
    </row>
    <row r="17" spans="1:13" ht="26.25" x14ac:dyDescent="0.4">
      <c r="A17" s="49" t="s">
        <v>40</v>
      </c>
      <c r="B17" s="15" t="s">
        <v>251</v>
      </c>
      <c r="C17" s="15" t="s">
        <v>142</v>
      </c>
      <c r="D17" s="15">
        <v>1</v>
      </c>
      <c r="E17" s="15">
        <v>1730</v>
      </c>
      <c r="F17" s="15">
        <v>1730</v>
      </c>
      <c r="G17" s="15">
        <v>1</v>
      </c>
      <c r="H17" s="16">
        <f t="shared" ref="H17" si="4">F17*G17</f>
        <v>1730</v>
      </c>
      <c r="I17" s="49">
        <f t="shared" ref="I17" si="5">(H17/(230*0.85))*1000</f>
        <v>8849.1048593350388</v>
      </c>
      <c r="J17" s="52"/>
      <c r="K17" s="54"/>
      <c r="L17" s="15">
        <v>32</v>
      </c>
      <c r="M17" s="15" t="s">
        <v>247</v>
      </c>
    </row>
    <row r="18" spans="1:13" ht="26.25" x14ac:dyDescent="0.4">
      <c r="A18" s="35"/>
      <c r="B18" s="15"/>
      <c r="C18" s="15"/>
      <c r="D18" s="15"/>
      <c r="E18" s="15"/>
      <c r="F18" s="15"/>
      <c r="G18" s="15"/>
      <c r="H18" s="16"/>
      <c r="I18" s="49"/>
      <c r="J18" s="52"/>
      <c r="K18" s="54"/>
      <c r="L18" s="15"/>
      <c r="M18" s="15"/>
    </row>
    <row r="19" spans="1:13" ht="26.25" x14ac:dyDescent="0.4">
      <c r="A19" s="37" t="s">
        <v>43</v>
      </c>
      <c r="B19" s="15" t="s">
        <v>253</v>
      </c>
      <c r="C19" s="15" t="s">
        <v>139</v>
      </c>
      <c r="D19" s="15">
        <v>1</v>
      </c>
      <c r="E19" s="15">
        <v>1090</v>
      </c>
      <c r="F19" s="15">
        <v>1090</v>
      </c>
      <c r="G19" s="15">
        <v>1</v>
      </c>
      <c r="H19" s="16">
        <f t="shared" si="0"/>
        <v>1090</v>
      </c>
      <c r="I19" s="49"/>
      <c r="J19" s="52">
        <f t="shared" si="1"/>
        <v>5575.4475703324806</v>
      </c>
      <c r="K19" s="54"/>
      <c r="L19" s="15">
        <v>32</v>
      </c>
      <c r="M19" s="15" t="s">
        <v>247</v>
      </c>
    </row>
    <row r="20" spans="1:13" ht="26.25" x14ac:dyDescent="0.4">
      <c r="A20" s="21"/>
      <c r="B20" s="15"/>
      <c r="C20" s="15"/>
      <c r="D20" s="15"/>
      <c r="E20" s="15"/>
      <c r="F20" s="15"/>
      <c r="G20" s="15"/>
      <c r="H20" s="16"/>
      <c r="I20" s="49"/>
      <c r="J20" s="52"/>
      <c r="K20" s="54"/>
      <c r="L20" s="15"/>
      <c r="M20" s="15"/>
    </row>
    <row r="21" spans="1:13" ht="26.25" x14ac:dyDescent="0.4">
      <c r="A21" s="36" t="s">
        <v>48</v>
      </c>
      <c r="B21" s="15" t="s">
        <v>254</v>
      </c>
      <c r="C21" s="15" t="s">
        <v>142</v>
      </c>
      <c r="D21" s="15">
        <v>1</v>
      </c>
      <c r="E21" s="15">
        <v>1730</v>
      </c>
      <c r="F21" s="15">
        <v>1730</v>
      </c>
      <c r="G21" s="15">
        <v>1</v>
      </c>
      <c r="H21" s="16">
        <f t="shared" si="0"/>
        <v>1730</v>
      </c>
      <c r="I21" s="49"/>
      <c r="J21" s="52"/>
      <c r="K21" s="54">
        <f t="shared" si="2"/>
        <v>8849.1048593350388</v>
      </c>
      <c r="L21" s="15">
        <v>32</v>
      </c>
      <c r="M21" s="15" t="s">
        <v>247</v>
      </c>
    </row>
    <row r="22" spans="1:13" ht="26.25" x14ac:dyDescent="0.4">
      <c r="A22" s="35"/>
      <c r="B22" s="15"/>
      <c r="C22" s="15"/>
      <c r="D22" s="15"/>
      <c r="E22" s="15"/>
      <c r="F22" s="15"/>
      <c r="G22" s="15"/>
      <c r="H22" s="16"/>
      <c r="I22" s="49"/>
      <c r="J22" s="52"/>
      <c r="K22" s="54"/>
      <c r="L22" s="15"/>
      <c r="M22" s="15"/>
    </row>
    <row r="23" spans="1:13" ht="26.25" x14ac:dyDescent="0.4">
      <c r="A23" s="38" t="s">
        <v>57</v>
      </c>
      <c r="B23" s="15" t="s">
        <v>255</v>
      </c>
      <c r="C23" s="15" t="s">
        <v>143</v>
      </c>
      <c r="D23" s="15">
        <v>1</v>
      </c>
      <c r="E23" s="15">
        <v>850</v>
      </c>
      <c r="F23" s="15">
        <v>850</v>
      </c>
      <c r="G23" s="15">
        <v>1</v>
      </c>
      <c r="H23" s="16">
        <f t="shared" si="0"/>
        <v>850</v>
      </c>
      <c r="I23" s="49">
        <f t="shared" si="3"/>
        <v>4347.8260869565211</v>
      </c>
      <c r="J23" s="52"/>
      <c r="K23" s="54"/>
      <c r="L23" s="15">
        <v>32</v>
      </c>
      <c r="M23" s="15" t="s">
        <v>247</v>
      </c>
    </row>
    <row r="24" spans="1:13" ht="26.25" x14ac:dyDescent="0.4">
      <c r="A24" s="35"/>
      <c r="B24" s="15"/>
      <c r="C24" s="15"/>
      <c r="D24" s="15"/>
      <c r="E24" s="15"/>
      <c r="F24" s="15"/>
      <c r="G24" s="15"/>
      <c r="H24" s="16"/>
      <c r="I24" s="49"/>
      <c r="J24" s="52"/>
      <c r="K24" s="54"/>
      <c r="L24" s="15"/>
      <c r="M24" s="15"/>
    </row>
    <row r="25" spans="1:13" ht="26.25" x14ac:dyDescent="0.4">
      <c r="A25" s="37" t="s">
        <v>61</v>
      </c>
      <c r="B25" s="15" t="s">
        <v>256</v>
      </c>
      <c r="C25" s="15" t="s">
        <v>139</v>
      </c>
      <c r="D25" s="15">
        <v>1</v>
      </c>
      <c r="E25" s="15">
        <v>1090</v>
      </c>
      <c r="F25" s="15">
        <v>1090</v>
      </c>
      <c r="G25" s="15">
        <v>1</v>
      </c>
      <c r="H25" s="16">
        <f t="shared" si="0"/>
        <v>1090</v>
      </c>
      <c r="I25" s="49"/>
      <c r="J25" s="52">
        <f t="shared" si="1"/>
        <v>5575.4475703324806</v>
      </c>
      <c r="K25" s="54"/>
      <c r="L25" s="15">
        <v>32</v>
      </c>
      <c r="M25" s="15" t="s">
        <v>247</v>
      </c>
    </row>
    <row r="26" spans="1:13" ht="26.25" x14ac:dyDescent="0.4">
      <c r="A26" s="35"/>
      <c r="B26" s="15"/>
      <c r="C26" s="15"/>
      <c r="D26" s="15"/>
      <c r="E26" s="15"/>
      <c r="F26" s="15"/>
      <c r="G26" s="15"/>
      <c r="H26" s="16"/>
      <c r="I26" s="49"/>
      <c r="J26" s="52"/>
      <c r="K26" s="54"/>
      <c r="L26" s="15"/>
      <c r="M26" s="15"/>
    </row>
    <row r="27" spans="1:13" ht="26.25" x14ac:dyDescent="0.4">
      <c r="A27" s="36" t="s">
        <v>63</v>
      </c>
      <c r="B27" s="15" t="s">
        <v>257</v>
      </c>
      <c r="C27" s="15" t="s">
        <v>142</v>
      </c>
      <c r="D27" s="15">
        <v>1</v>
      </c>
      <c r="E27" s="15">
        <v>1730</v>
      </c>
      <c r="F27" s="15">
        <v>1730</v>
      </c>
      <c r="G27" s="15">
        <v>1</v>
      </c>
      <c r="H27" s="16">
        <f t="shared" si="0"/>
        <v>1730</v>
      </c>
      <c r="I27" s="49"/>
      <c r="J27" s="52"/>
      <c r="K27" s="54">
        <f t="shared" si="2"/>
        <v>8849.1048593350388</v>
      </c>
      <c r="L27" s="15">
        <v>32</v>
      </c>
      <c r="M27" s="15" t="s">
        <v>247</v>
      </c>
    </row>
    <row r="28" spans="1:13" ht="26.25" x14ac:dyDescent="0.4">
      <c r="A28" s="35"/>
      <c r="B28" s="15"/>
      <c r="C28" s="15"/>
      <c r="D28" s="15"/>
      <c r="E28" s="15"/>
      <c r="F28" s="15"/>
      <c r="G28" s="15"/>
      <c r="H28" s="16"/>
      <c r="I28" s="49"/>
      <c r="J28" s="52"/>
      <c r="K28" s="54"/>
      <c r="L28" s="15"/>
      <c r="M28" s="15"/>
    </row>
    <row r="29" spans="1:13" ht="26.25" x14ac:dyDescent="0.4">
      <c r="A29" s="38" t="s">
        <v>64</v>
      </c>
      <c r="B29" s="15" t="s">
        <v>260</v>
      </c>
      <c r="C29" s="15" t="s">
        <v>142</v>
      </c>
      <c r="D29" s="15">
        <v>1</v>
      </c>
      <c r="E29" s="15">
        <v>1730</v>
      </c>
      <c r="F29" s="15">
        <v>1730</v>
      </c>
      <c r="G29" s="15">
        <v>1</v>
      </c>
      <c r="H29" s="16">
        <f>F29*G29</f>
        <v>1730</v>
      </c>
      <c r="I29" s="49">
        <f t="shared" si="3"/>
        <v>8849.1048593350388</v>
      </c>
      <c r="J29" s="52"/>
      <c r="K29" s="54"/>
      <c r="L29" s="15">
        <v>32</v>
      </c>
      <c r="M29" s="15" t="s">
        <v>247</v>
      </c>
    </row>
    <row r="30" spans="1:13" ht="26.25" x14ac:dyDescent="0.4">
      <c r="A30" s="21"/>
      <c r="B30" s="15"/>
      <c r="C30" s="15"/>
      <c r="D30" s="15"/>
      <c r="E30" s="15"/>
      <c r="F30" s="15"/>
      <c r="G30" s="15"/>
      <c r="H30" s="16"/>
      <c r="I30" s="49"/>
      <c r="J30" s="52"/>
      <c r="K30" s="54"/>
      <c r="L30" s="15"/>
      <c r="M30" s="15"/>
    </row>
    <row r="31" spans="1:13" ht="26.25" x14ac:dyDescent="0.4">
      <c r="A31" s="37" t="s">
        <v>65</v>
      </c>
      <c r="B31" s="15" t="s">
        <v>259</v>
      </c>
      <c r="C31" s="15" t="s">
        <v>142</v>
      </c>
      <c r="D31" s="15">
        <v>1</v>
      </c>
      <c r="E31" s="15">
        <v>1730</v>
      </c>
      <c r="F31" s="15">
        <v>1730</v>
      </c>
      <c r="G31" s="15">
        <v>1</v>
      </c>
      <c r="H31" s="16">
        <f t="shared" si="0"/>
        <v>1730</v>
      </c>
      <c r="I31" s="49"/>
      <c r="J31" s="52">
        <f t="shared" si="1"/>
        <v>8849.1048593350388</v>
      </c>
      <c r="K31" s="54"/>
      <c r="L31" s="15">
        <v>32</v>
      </c>
      <c r="M31" s="15" t="s">
        <v>247</v>
      </c>
    </row>
    <row r="32" spans="1:13" ht="26.25" x14ac:dyDescent="0.4">
      <c r="A32" s="142"/>
      <c r="B32" s="142"/>
      <c r="C32" s="142"/>
      <c r="D32" s="142"/>
      <c r="E32" s="142"/>
      <c r="F32" s="142"/>
      <c r="G32" s="142"/>
      <c r="H32" s="142"/>
      <c r="I32" s="49"/>
      <c r="J32" s="52"/>
      <c r="K32" s="54"/>
      <c r="L32" s="142"/>
      <c r="M32" s="142"/>
    </row>
    <row r="33" spans="1:13" ht="26.25" x14ac:dyDescent="0.4">
      <c r="A33" s="54" t="s">
        <v>66</v>
      </c>
      <c r="B33" s="15" t="s">
        <v>258</v>
      </c>
      <c r="C33" s="15" t="s">
        <v>139</v>
      </c>
      <c r="D33" s="15">
        <v>1</v>
      </c>
      <c r="E33" s="15">
        <v>1090</v>
      </c>
      <c r="F33" s="15">
        <v>1090</v>
      </c>
      <c r="G33" s="15">
        <v>1</v>
      </c>
      <c r="H33" s="16">
        <f t="shared" ref="H33" si="6">F33*G33</f>
        <v>1090</v>
      </c>
      <c r="I33" s="49"/>
      <c r="J33" s="52"/>
      <c r="K33" s="54">
        <f t="shared" si="2"/>
        <v>5575.4475703324806</v>
      </c>
      <c r="L33" s="15">
        <v>32</v>
      </c>
      <c r="M33" s="15" t="s">
        <v>247</v>
      </c>
    </row>
    <row r="34" spans="1:13" ht="26.25" x14ac:dyDescent="0.4">
      <c r="A34" s="35"/>
      <c r="B34" s="15"/>
      <c r="C34" s="15"/>
      <c r="D34" s="15"/>
      <c r="E34" s="15"/>
      <c r="F34" s="15"/>
      <c r="G34" s="15"/>
      <c r="H34" s="16"/>
      <c r="I34" s="49"/>
      <c r="J34" s="52"/>
      <c r="K34" s="54"/>
      <c r="L34" s="15"/>
      <c r="M34" s="15"/>
    </row>
    <row r="35" spans="1:13" ht="26.25" x14ac:dyDescent="0.4">
      <c r="A35" s="38" t="s">
        <v>68</v>
      </c>
      <c r="B35" s="15" t="s">
        <v>261</v>
      </c>
      <c r="C35" s="15" t="s">
        <v>139</v>
      </c>
      <c r="D35" s="15">
        <v>1</v>
      </c>
      <c r="E35" s="15">
        <v>1090</v>
      </c>
      <c r="F35" s="15">
        <v>1090</v>
      </c>
      <c r="G35" s="15">
        <v>1</v>
      </c>
      <c r="H35" s="16">
        <f t="shared" si="0"/>
        <v>1090</v>
      </c>
      <c r="I35" s="49">
        <f t="shared" si="3"/>
        <v>5575.4475703324806</v>
      </c>
      <c r="J35" s="52"/>
      <c r="K35" s="54"/>
      <c r="L35" s="15">
        <v>32</v>
      </c>
      <c r="M35" s="15" t="s">
        <v>247</v>
      </c>
    </row>
    <row r="36" spans="1:13" ht="26.25" x14ac:dyDescent="0.4">
      <c r="A36" s="15"/>
      <c r="B36" s="15"/>
      <c r="C36" s="15"/>
      <c r="D36" s="15"/>
      <c r="E36" s="15"/>
      <c r="F36" s="15"/>
      <c r="G36" s="15"/>
      <c r="H36" s="16"/>
      <c r="I36" s="49"/>
      <c r="J36" s="52"/>
      <c r="K36" s="54"/>
      <c r="L36" s="15"/>
      <c r="M36" s="15"/>
    </row>
    <row r="37" spans="1:13" ht="26.25" x14ac:dyDescent="0.4">
      <c r="A37" s="37" t="s">
        <v>69</v>
      </c>
      <c r="B37" s="15" t="s">
        <v>262</v>
      </c>
      <c r="C37" s="15" t="s">
        <v>142</v>
      </c>
      <c r="D37" s="15">
        <v>1</v>
      </c>
      <c r="E37" s="15">
        <v>1730</v>
      </c>
      <c r="F37" s="15">
        <v>1730</v>
      </c>
      <c r="G37" s="15">
        <v>1</v>
      </c>
      <c r="H37" s="16">
        <f t="shared" si="0"/>
        <v>1730</v>
      </c>
      <c r="I37" s="49"/>
      <c r="J37" s="52">
        <f t="shared" si="1"/>
        <v>8849.1048593350388</v>
      </c>
      <c r="K37" s="54"/>
      <c r="L37" s="15">
        <v>32</v>
      </c>
      <c r="M37" s="15" t="s">
        <v>247</v>
      </c>
    </row>
    <row r="38" spans="1:13" ht="26.25" x14ac:dyDescent="0.4">
      <c r="A38" s="21"/>
      <c r="B38" s="15"/>
      <c r="C38" s="15"/>
      <c r="D38" s="15"/>
      <c r="E38" s="15"/>
      <c r="F38" s="15"/>
      <c r="G38" s="15"/>
      <c r="H38" s="16"/>
      <c r="I38" s="49"/>
      <c r="J38" s="52"/>
      <c r="K38" s="54"/>
      <c r="L38" s="15"/>
      <c r="M38" s="15"/>
    </row>
    <row r="39" spans="1:13" ht="26.25" x14ac:dyDescent="0.4">
      <c r="A39" s="36" t="s">
        <v>71</v>
      </c>
      <c r="B39" s="15" t="s">
        <v>263</v>
      </c>
      <c r="C39" s="15" t="s">
        <v>139</v>
      </c>
      <c r="D39" s="15">
        <v>1</v>
      </c>
      <c r="E39" s="15">
        <v>1090</v>
      </c>
      <c r="F39" s="15">
        <v>1090</v>
      </c>
      <c r="G39" s="15">
        <v>1</v>
      </c>
      <c r="H39" s="16">
        <f t="shared" si="0"/>
        <v>1090</v>
      </c>
      <c r="I39" s="49"/>
      <c r="J39" s="52"/>
      <c r="K39" s="54">
        <f t="shared" si="2"/>
        <v>5575.4475703324806</v>
      </c>
      <c r="L39" s="15">
        <v>32</v>
      </c>
      <c r="M39" s="15" t="s">
        <v>247</v>
      </c>
    </row>
    <row r="40" spans="1:13" ht="26.25" x14ac:dyDescent="0.4">
      <c r="A40" s="21"/>
      <c r="B40" s="79"/>
      <c r="C40" s="79"/>
      <c r="D40" s="15"/>
      <c r="E40" s="15"/>
      <c r="F40" s="15"/>
      <c r="G40" s="21"/>
      <c r="H40" s="16"/>
      <c r="I40" s="48"/>
      <c r="J40" s="52"/>
      <c r="K40" s="54"/>
      <c r="L40" s="21"/>
      <c r="M40" s="21"/>
    </row>
    <row r="41" spans="1:13" ht="25.5" x14ac:dyDescent="0.35">
      <c r="A41" s="79" t="s">
        <v>108</v>
      </c>
      <c r="B41" s="92"/>
      <c r="C41" s="92"/>
      <c r="D41" s="79">
        <f>SUM(D5:D40)</f>
        <v>18</v>
      </c>
      <c r="E41" s="79">
        <f t="shared" ref="E41:F41" si="7">SUM(E5:E40)</f>
        <v>25540</v>
      </c>
      <c r="F41" s="79">
        <f t="shared" si="7"/>
        <v>25540</v>
      </c>
      <c r="G41" s="79">
        <f t="shared" ref="G41" si="8">SUM(G5:G40)</f>
        <v>18</v>
      </c>
      <c r="H41" s="79">
        <f t="shared" ref="H41" si="9">SUM(H5:H40)</f>
        <v>25540</v>
      </c>
      <c r="I41" s="59">
        <f t="shared" ref="I41" si="10">SUM(I5:I40)</f>
        <v>45319.693094629154</v>
      </c>
      <c r="J41" s="60">
        <f t="shared" ref="J41:K41" si="11">SUM(J5:J40)</f>
        <v>43273.657289002556</v>
      </c>
      <c r="K41" s="143">
        <f t="shared" si="11"/>
        <v>42046.035805626598</v>
      </c>
      <c r="L41" s="92"/>
      <c r="M41" s="92"/>
    </row>
  </sheetData>
  <mergeCells count="5">
    <mergeCell ref="D3:D4"/>
    <mergeCell ref="B3:C3"/>
    <mergeCell ref="A3:A4"/>
    <mergeCell ref="A1:M1"/>
    <mergeCell ref="A2:M2"/>
  </mergeCells>
  <pageMargins left="0.7" right="0.7" top="0.75" bottom="0.75" header="0.3" footer="0.3"/>
  <pageSetup paperSize="14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B265-95D1-4BED-9350-E714035112E9}">
  <dimension ref="A1:AA96"/>
  <sheetViews>
    <sheetView topLeftCell="A20" zoomScale="55" zoomScaleNormal="55" workbookViewId="0">
      <selection activeCell="K42" sqref="K42"/>
    </sheetView>
  </sheetViews>
  <sheetFormatPr defaultColWidth="8.875" defaultRowHeight="26.25" x14ac:dyDescent="0.4"/>
  <cols>
    <col min="1" max="1" width="24.5" style="85" customWidth="1"/>
    <col min="2" max="2" width="43.125" style="85" customWidth="1"/>
    <col min="3" max="3" width="62.5" style="71" customWidth="1"/>
    <col min="4" max="4" width="15.875" style="71" customWidth="1"/>
    <col min="5" max="5" width="26.125" style="71" customWidth="1"/>
    <col min="6" max="6" width="25.125" style="85" customWidth="1"/>
    <col min="7" max="7" width="21" style="85" customWidth="1"/>
    <col min="8" max="8" width="21.625" style="85" customWidth="1"/>
    <col min="9" max="9" width="24.375" style="85" customWidth="1"/>
    <col min="10" max="10" width="25" style="85" customWidth="1"/>
    <col min="11" max="12" width="27.125" style="85" customWidth="1"/>
    <col min="13" max="13" width="23.125" style="85" customWidth="1"/>
    <col min="14" max="16384" width="8.875" style="85"/>
  </cols>
  <sheetData>
    <row r="1" spans="1:27" ht="25.5" x14ac:dyDescent="0.25">
      <c r="A1" s="173" t="s">
        <v>187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</row>
    <row r="2" spans="1:27" ht="25.5" x14ac:dyDescent="0.35">
      <c r="A2" s="176" t="s">
        <v>234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</row>
    <row r="3" spans="1:27" ht="25.5" x14ac:dyDescent="0.35">
      <c r="A3" s="149" t="s">
        <v>2</v>
      </c>
      <c r="B3" s="150" t="s">
        <v>3</v>
      </c>
      <c r="C3" s="150"/>
      <c r="D3" s="150" t="s">
        <v>4</v>
      </c>
      <c r="E3" s="3" t="s">
        <v>5</v>
      </c>
      <c r="F3" s="4" t="s">
        <v>6</v>
      </c>
      <c r="G3" s="3" t="s">
        <v>7</v>
      </c>
      <c r="H3" s="3" t="s">
        <v>8</v>
      </c>
      <c r="I3" s="5" t="s">
        <v>9</v>
      </c>
      <c r="J3" s="6" t="s">
        <v>9</v>
      </c>
      <c r="K3" s="7" t="s">
        <v>9</v>
      </c>
      <c r="L3" s="3" t="s">
        <v>10</v>
      </c>
      <c r="M3" s="8" t="s">
        <v>11</v>
      </c>
      <c r="O3" s="97"/>
      <c r="P3" s="97"/>
      <c r="Q3" s="97"/>
      <c r="R3" s="97"/>
      <c r="S3" s="97"/>
      <c r="T3" s="97"/>
      <c r="U3" s="97"/>
      <c r="V3" s="97"/>
      <c r="W3" s="97"/>
      <c r="X3" s="98"/>
      <c r="Y3" s="97"/>
      <c r="Z3" s="97"/>
      <c r="AA3" s="97"/>
    </row>
    <row r="4" spans="1:27" ht="25.5" x14ac:dyDescent="0.35">
      <c r="A4" s="149"/>
      <c r="B4" s="4" t="s">
        <v>12</v>
      </c>
      <c r="C4" s="4" t="s">
        <v>13</v>
      </c>
      <c r="D4" s="150"/>
      <c r="E4" s="3" t="s">
        <v>14</v>
      </c>
      <c r="F4" s="4" t="s">
        <v>15</v>
      </c>
      <c r="G4" s="4" t="s">
        <v>16</v>
      </c>
      <c r="H4" s="4" t="s">
        <v>17</v>
      </c>
      <c r="I4" s="12" t="s">
        <v>18</v>
      </c>
      <c r="J4" s="13" t="s">
        <v>19</v>
      </c>
      <c r="K4" s="14" t="s">
        <v>20</v>
      </c>
      <c r="L4" s="4" t="s">
        <v>21</v>
      </c>
      <c r="M4" s="8" t="s">
        <v>22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</row>
    <row r="5" spans="1:27" ht="25.35" customHeight="1" x14ac:dyDescent="0.4">
      <c r="A5" s="164" t="s">
        <v>23</v>
      </c>
      <c r="B5" s="102" t="s">
        <v>264</v>
      </c>
      <c r="C5" s="102" t="s">
        <v>265</v>
      </c>
      <c r="D5" s="15">
        <v>4</v>
      </c>
      <c r="E5" s="15">
        <f>(36+6)*2</f>
        <v>84</v>
      </c>
      <c r="F5" s="15">
        <f>E5*D5</f>
        <v>336</v>
      </c>
      <c r="G5" s="15">
        <v>0.8</v>
      </c>
      <c r="H5" s="16">
        <f>F5*G5</f>
        <v>268.8</v>
      </c>
      <c r="I5" s="49">
        <f>(H5/(230*0.85))*1000</f>
        <v>1374.9360613810741</v>
      </c>
      <c r="J5" s="52"/>
      <c r="K5" s="54"/>
      <c r="L5" s="152">
        <v>6</v>
      </c>
      <c r="M5" s="15" t="s">
        <v>266</v>
      </c>
      <c r="N5" s="97"/>
      <c r="O5" s="97"/>
    </row>
    <row r="6" spans="1:27" ht="25.35" customHeight="1" x14ac:dyDescent="0.4">
      <c r="A6" s="202"/>
      <c r="B6" s="102" t="s">
        <v>267</v>
      </c>
      <c r="C6" s="102" t="s">
        <v>268</v>
      </c>
      <c r="D6" s="15">
        <v>3</v>
      </c>
      <c r="E6" s="15">
        <f>(36+6)</f>
        <v>42</v>
      </c>
      <c r="F6" s="15">
        <f t="shared" ref="F6:F33" si="0">E6*D6</f>
        <v>126</v>
      </c>
      <c r="G6" s="15">
        <v>0.8</v>
      </c>
      <c r="H6" s="16">
        <f t="shared" ref="H6:H33" si="1">F6*G6</f>
        <v>100.80000000000001</v>
      </c>
      <c r="I6" s="49">
        <f t="shared" ref="I6:I44" si="2">(H6/(230*0.85))*1000</f>
        <v>515.60102301790289</v>
      </c>
      <c r="J6" s="52"/>
      <c r="K6" s="54"/>
      <c r="L6" s="153"/>
      <c r="M6" s="15" t="s">
        <v>266</v>
      </c>
      <c r="N6" s="97"/>
      <c r="O6" s="97"/>
    </row>
    <row r="7" spans="1:27" ht="25.7" customHeight="1" x14ac:dyDescent="0.4">
      <c r="A7" s="165"/>
      <c r="B7" s="102" t="s">
        <v>269</v>
      </c>
      <c r="C7" s="102" t="s">
        <v>268</v>
      </c>
      <c r="D7" s="15">
        <v>3</v>
      </c>
      <c r="E7" s="15">
        <f>(36+6)</f>
        <v>42</v>
      </c>
      <c r="F7" s="15">
        <f t="shared" si="0"/>
        <v>126</v>
      </c>
      <c r="G7" s="15">
        <v>0.8</v>
      </c>
      <c r="H7" s="16">
        <f t="shared" si="1"/>
        <v>100.80000000000001</v>
      </c>
      <c r="I7" s="49">
        <f t="shared" si="2"/>
        <v>515.60102301790289</v>
      </c>
      <c r="J7" s="52"/>
      <c r="K7" s="54"/>
      <c r="L7" s="154"/>
      <c r="M7" s="15" t="s">
        <v>266</v>
      </c>
      <c r="N7" s="97"/>
      <c r="O7" s="97"/>
    </row>
    <row r="8" spans="1:27" ht="27.75" x14ac:dyDescent="0.4">
      <c r="A8" s="15"/>
      <c r="B8" s="93"/>
      <c r="C8" s="93"/>
      <c r="D8" s="15"/>
      <c r="E8" s="15"/>
      <c r="F8" s="15"/>
      <c r="G8" s="15"/>
      <c r="H8" s="16"/>
      <c r="I8" s="49"/>
      <c r="J8" s="52"/>
      <c r="K8" s="54"/>
      <c r="L8" s="15"/>
      <c r="M8" s="15"/>
      <c r="N8" s="97"/>
      <c r="O8" s="97"/>
    </row>
    <row r="9" spans="1:27" ht="27.75" x14ac:dyDescent="0.4">
      <c r="A9" s="147" t="s">
        <v>29</v>
      </c>
      <c r="B9" s="102" t="s">
        <v>270</v>
      </c>
      <c r="C9" s="102" t="s">
        <v>268</v>
      </c>
      <c r="D9" s="15">
        <v>2</v>
      </c>
      <c r="E9" s="15">
        <f>(36+6)</f>
        <v>42</v>
      </c>
      <c r="F9" s="15">
        <f t="shared" si="0"/>
        <v>84</v>
      </c>
      <c r="G9" s="15">
        <v>0.8</v>
      </c>
      <c r="H9" s="16">
        <f t="shared" si="1"/>
        <v>67.2</v>
      </c>
      <c r="I9" s="49"/>
      <c r="J9" s="52">
        <f t="shared" ref="J9:J46" si="3">(H9/(230*0.85))*1000</f>
        <v>343.73401534526852</v>
      </c>
      <c r="K9" s="54"/>
      <c r="L9" s="152">
        <v>6</v>
      </c>
      <c r="M9" s="15" t="s">
        <v>266</v>
      </c>
      <c r="N9" s="97"/>
      <c r="O9" s="97"/>
    </row>
    <row r="10" spans="1:27" ht="27.75" x14ac:dyDescent="0.4">
      <c r="A10" s="147"/>
      <c r="B10" s="102" t="s">
        <v>271</v>
      </c>
      <c r="C10" s="102" t="s">
        <v>272</v>
      </c>
      <c r="D10" s="15">
        <v>3</v>
      </c>
      <c r="E10" s="15">
        <f>(36+6)*2</f>
        <v>84</v>
      </c>
      <c r="F10" s="15">
        <f t="shared" si="0"/>
        <v>252</v>
      </c>
      <c r="G10" s="15">
        <v>0.8</v>
      </c>
      <c r="H10" s="16">
        <f t="shared" si="1"/>
        <v>201.60000000000002</v>
      </c>
      <c r="I10" s="49"/>
      <c r="J10" s="52">
        <f t="shared" si="3"/>
        <v>1031.2020460358058</v>
      </c>
      <c r="K10" s="54"/>
      <c r="L10" s="154"/>
      <c r="M10" s="15" t="s">
        <v>266</v>
      </c>
      <c r="N10" s="97"/>
      <c r="O10" s="97"/>
    </row>
    <row r="11" spans="1:27" ht="27.75" x14ac:dyDescent="0.4">
      <c r="A11" s="17"/>
      <c r="B11" s="102"/>
      <c r="C11" s="102"/>
      <c r="D11" s="17"/>
      <c r="E11" s="17"/>
      <c r="F11" s="15"/>
      <c r="G11" s="15"/>
      <c r="H11" s="16"/>
      <c r="I11" s="49"/>
      <c r="J11" s="52"/>
      <c r="K11" s="54"/>
      <c r="L11" s="15"/>
      <c r="M11" s="15"/>
      <c r="N11" s="97"/>
      <c r="O11" s="97"/>
    </row>
    <row r="12" spans="1:27" ht="27.75" x14ac:dyDescent="0.4">
      <c r="A12" s="146" t="s">
        <v>31</v>
      </c>
      <c r="B12" s="102" t="s">
        <v>273</v>
      </c>
      <c r="C12" s="102" t="s">
        <v>272</v>
      </c>
      <c r="D12" s="15">
        <v>5</v>
      </c>
      <c r="E12" s="15">
        <f>(36+6)*2</f>
        <v>84</v>
      </c>
      <c r="F12" s="15">
        <f t="shared" si="0"/>
        <v>420</v>
      </c>
      <c r="G12" s="15">
        <v>0.8</v>
      </c>
      <c r="H12" s="16">
        <f t="shared" si="1"/>
        <v>336</v>
      </c>
      <c r="I12" s="49"/>
      <c r="J12" s="52"/>
      <c r="K12" s="54">
        <f t="shared" ref="K12:K48" si="4">(H12/(230*0.85))*1000</f>
        <v>1718.6700767263428</v>
      </c>
      <c r="L12" s="152">
        <v>6</v>
      </c>
      <c r="M12" s="15" t="s">
        <v>266</v>
      </c>
      <c r="N12" s="97"/>
      <c r="O12" s="97"/>
    </row>
    <row r="13" spans="1:27" ht="27.75" x14ac:dyDescent="0.4">
      <c r="A13" s="146"/>
      <c r="B13" s="103" t="s">
        <v>274</v>
      </c>
      <c r="C13" s="102" t="s">
        <v>272</v>
      </c>
      <c r="D13" s="15">
        <v>5</v>
      </c>
      <c r="E13" s="15">
        <f>(36+6)*2</f>
        <v>84</v>
      </c>
      <c r="F13" s="15">
        <f t="shared" si="0"/>
        <v>420</v>
      </c>
      <c r="G13" s="15">
        <v>0.8</v>
      </c>
      <c r="H13" s="16">
        <f t="shared" si="1"/>
        <v>336</v>
      </c>
      <c r="I13" s="49"/>
      <c r="J13" s="52"/>
      <c r="K13" s="54">
        <f t="shared" si="4"/>
        <v>1718.6700767263428</v>
      </c>
      <c r="L13" s="154"/>
      <c r="M13" s="15" t="s">
        <v>266</v>
      </c>
      <c r="N13" s="97"/>
      <c r="O13" s="97"/>
    </row>
    <row r="14" spans="1:27" ht="27.75" x14ac:dyDescent="0.4">
      <c r="A14" s="17"/>
      <c r="B14" s="102"/>
      <c r="C14" s="102"/>
      <c r="D14" s="17"/>
      <c r="E14" s="17"/>
      <c r="F14" s="15"/>
      <c r="G14" s="15"/>
      <c r="H14" s="16"/>
      <c r="I14" s="49"/>
      <c r="J14" s="52"/>
      <c r="K14" s="54"/>
      <c r="L14" s="15"/>
      <c r="M14" s="15"/>
      <c r="N14" s="97"/>
      <c r="O14" s="97"/>
    </row>
    <row r="15" spans="1:27" ht="27.75" x14ac:dyDescent="0.4">
      <c r="A15" s="144" t="s">
        <v>34</v>
      </c>
      <c r="B15" s="102" t="s">
        <v>275</v>
      </c>
      <c r="C15" s="102" t="s">
        <v>272</v>
      </c>
      <c r="D15" s="15">
        <v>3</v>
      </c>
      <c r="E15" s="15">
        <f>(36+6)*2</f>
        <v>84</v>
      </c>
      <c r="F15" s="15">
        <f t="shared" si="0"/>
        <v>252</v>
      </c>
      <c r="G15" s="15">
        <v>0.8</v>
      </c>
      <c r="H15" s="16">
        <f t="shared" si="1"/>
        <v>201.60000000000002</v>
      </c>
      <c r="I15" s="49">
        <f t="shared" si="2"/>
        <v>1031.2020460358058</v>
      </c>
      <c r="J15" s="52"/>
      <c r="K15" s="54"/>
      <c r="L15" s="152">
        <v>6</v>
      </c>
      <c r="M15" s="15" t="s">
        <v>266</v>
      </c>
      <c r="N15" s="97"/>
      <c r="O15" s="97"/>
    </row>
    <row r="16" spans="1:27" ht="27.75" x14ac:dyDescent="0.4">
      <c r="A16" s="144"/>
      <c r="B16" s="103" t="s">
        <v>275</v>
      </c>
      <c r="C16" s="102" t="s">
        <v>272</v>
      </c>
      <c r="D16" s="15">
        <v>3</v>
      </c>
      <c r="E16" s="15">
        <f>(36+6)*2</f>
        <v>84</v>
      </c>
      <c r="F16" s="15">
        <f t="shared" si="0"/>
        <v>252</v>
      </c>
      <c r="G16" s="15">
        <v>0.8</v>
      </c>
      <c r="H16" s="16">
        <f t="shared" si="1"/>
        <v>201.60000000000002</v>
      </c>
      <c r="I16" s="49">
        <f t="shared" si="2"/>
        <v>1031.2020460358058</v>
      </c>
      <c r="J16" s="52"/>
      <c r="K16" s="54"/>
      <c r="L16" s="154"/>
      <c r="M16" s="15" t="s">
        <v>266</v>
      </c>
      <c r="N16" s="97"/>
      <c r="O16" s="97"/>
    </row>
    <row r="17" spans="1:15" ht="27.75" x14ac:dyDescent="0.4">
      <c r="A17" s="17"/>
      <c r="B17" s="102"/>
      <c r="C17" s="102"/>
      <c r="D17" s="17"/>
      <c r="E17" s="17"/>
      <c r="F17" s="15"/>
      <c r="G17" s="15"/>
      <c r="H17" s="16"/>
      <c r="I17" s="49"/>
      <c r="J17" s="52"/>
      <c r="K17" s="54"/>
      <c r="L17" s="15"/>
      <c r="M17" s="15"/>
      <c r="N17" s="97"/>
      <c r="O17" s="97"/>
    </row>
    <row r="18" spans="1:15" ht="27.75" x14ac:dyDescent="0.4">
      <c r="A18" s="37" t="s">
        <v>36</v>
      </c>
      <c r="B18" s="102" t="s">
        <v>276</v>
      </c>
      <c r="C18" s="102" t="s">
        <v>272</v>
      </c>
      <c r="D18" s="15">
        <v>6</v>
      </c>
      <c r="E18" s="15">
        <f>(36+6)*2</f>
        <v>84</v>
      </c>
      <c r="F18" s="15">
        <f t="shared" si="0"/>
        <v>504</v>
      </c>
      <c r="G18" s="15">
        <v>0.8</v>
      </c>
      <c r="H18" s="16">
        <f>F18*G18</f>
        <v>403.20000000000005</v>
      </c>
      <c r="I18" s="49"/>
      <c r="J18" s="52">
        <f t="shared" si="3"/>
        <v>2062.4040920716116</v>
      </c>
      <c r="K18" s="54"/>
      <c r="L18" s="15">
        <v>6</v>
      </c>
      <c r="M18" s="15" t="s">
        <v>266</v>
      </c>
      <c r="N18" s="97"/>
      <c r="O18" s="97"/>
    </row>
    <row r="19" spans="1:15" ht="27.75" x14ac:dyDescent="0.4">
      <c r="A19" s="15"/>
      <c r="B19" s="93"/>
      <c r="C19" s="93"/>
      <c r="D19" s="15"/>
      <c r="E19" s="15"/>
      <c r="F19" s="15"/>
      <c r="G19" s="15"/>
      <c r="H19" s="16"/>
      <c r="I19" s="49"/>
      <c r="J19" s="52"/>
      <c r="K19" s="54"/>
      <c r="L19" s="15"/>
      <c r="M19" s="15"/>
      <c r="N19" s="97"/>
      <c r="O19" s="97"/>
    </row>
    <row r="20" spans="1:15" ht="27.75" x14ac:dyDescent="0.4">
      <c r="A20" s="36" t="s">
        <v>38</v>
      </c>
      <c r="B20" s="102" t="s">
        <v>277</v>
      </c>
      <c r="C20" s="102" t="s">
        <v>278</v>
      </c>
      <c r="D20" s="15">
        <v>8</v>
      </c>
      <c r="E20" s="15">
        <f>(36+6)</f>
        <v>42</v>
      </c>
      <c r="F20" s="15">
        <f t="shared" si="0"/>
        <v>336</v>
      </c>
      <c r="G20" s="15">
        <v>0.8</v>
      </c>
      <c r="H20" s="16">
        <f t="shared" si="1"/>
        <v>268.8</v>
      </c>
      <c r="I20" s="49"/>
      <c r="J20" s="52"/>
      <c r="K20" s="54">
        <f t="shared" si="4"/>
        <v>1374.9360613810741</v>
      </c>
      <c r="L20" s="15">
        <v>6</v>
      </c>
      <c r="M20" s="15" t="s">
        <v>266</v>
      </c>
      <c r="N20" s="97"/>
      <c r="O20" s="97"/>
    </row>
    <row r="21" spans="1:15" ht="27.75" x14ac:dyDescent="0.4">
      <c r="A21" s="17"/>
      <c r="B21" s="102"/>
      <c r="C21" s="102"/>
      <c r="D21" s="17"/>
      <c r="E21" s="17"/>
      <c r="F21" s="15"/>
      <c r="G21" s="15"/>
      <c r="H21" s="16"/>
      <c r="I21" s="49"/>
      <c r="J21" s="52"/>
      <c r="K21" s="54"/>
      <c r="L21" s="15"/>
      <c r="M21" s="15"/>
      <c r="N21" s="97"/>
      <c r="O21" s="97"/>
    </row>
    <row r="22" spans="1:15" ht="27.75" x14ac:dyDescent="0.4">
      <c r="A22" s="144" t="s">
        <v>40</v>
      </c>
      <c r="B22" s="102" t="s">
        <v>279</v>
      </c>
      <c r="C22" s="102" t="s">
        <v>278</v>
      </c>
      <c r="D22" s="17">
        <v>2</v>
      </c>
      <c r="E22" s="15">
        <f>(36+6)</f>
        <v>42</v>
      </c>
      <c r="F22" s="15">
        <f t="shared" si="0"/>
        <v>84</v>
      </c>
      <c r="G22" s="15">
        <v>0.8</v>
      </c>
      <c r="H22" s="16">
        <f t="shared" si="1"/>
        <v>67.2</v>
      </c>
      <c r="I22" s="49">
        <f t="shared" si="2"/>
        <v>343.73401534526852</v>
      </c>
      <c r="J22" s="52"/>
      <c r="K22" s="54"/>
      <c r="L22" s="152">
        <v>6</v>
      </c>
      <c r="M22" s="15" t="s">
        <v>266</v>
      </c>
      <c r="N22" s="97"/>
      <c r="O22" s="97"/>
    </row>
    <row r="23" spans="1:15" ht="27.75" x14ac:dyDescent="0.4">
      <c r="A23" s="144"/>
      <c r="B23" s="102" t="s">
        <v>280</v>
      </c>
      <c r="C23" s="102" t="s">
        <v>278</v>
      </c>
      <c r="D23" s="17">
        <v>3</v>
      </c>
      <c r="E23" s="15">
        <f>(36+6)</f>
        <v>42</v>
      </c>
      <c r="F23" s="15">
        <f t="shared" si="0"/>
        <v>126</v>
      </c>
      <c r="G23" s="15">
        <v>0.8</v>
      </c>
      <c r="H23" s="16">
        <f t="shared" si="1"/>
        <v>100.80000000000001</v>
      </c>
      <c r="I23" s="49">
        <f t="shared" si="2"/>
        <v>515.60102301790289</v>
      </c>
      <c r="J23" s="52"/>
      <c r="K23" s="54"/>
      <c r="L23" s="154"/>
      <c r="M23" s="15" t="s">
        <v>266</v>
      </c>
      <c r="N23" s="97"/>
      <c r="O23" s="97"/>
    </row>
    <row r="24" spans="1:15" ht="27.75" x14ac:dyDescent="0.4">
      <c r="A24" s="15"/>
      <c r="B24" s="93"/>
      <c r="C24" s="93"/>
      <c r="D24" s="15"/>
      <c r="E24" s="15"/>
      <c r="F24" s="15"/>
      <c r="G24" s="15"/>
      <c r="H24" s="16"/>
      <c r="I24" s="49"/>
      <c r="J24" s="52"/>
      <c r="K24" s="54"/>
      <c r="L24" s="15"/>
      <c r="M24" s="15"/>
      <c r="N24" s="97"/>
      <c r="O24" s="97"/>
    </row>
    <row r="25" spans="1:15" ht="27.75" x14ac:dyDescent="0.4">
      <c r="A25" s="147" t="s">
        <v>43</v>
      </c>
      <c r="B25" s="102" t="s">
        <v>281</v>
      </c>
      <c r="C25" s="102" t="s">
        <v>265</v>
      </c>
      <c r="D25" s="15">
        <v>3</v>
      </c>
      <c r="E25" s="15">
        <f>(36+6)*2</f>
        <v>84</v>
      </c>
      <c r="F25" s="15">
        <f t="shared" si="0"/>
        <v>252</v>
      </c>
      <c r="G25" s="15">
        <v>0.8</v>
      </c>
      <c r="H25" s="16">
        <f t="shared" si="1"/>
        <v>201.60000000000002</v>
      </c>
      <c r="I25" s="49"/>
      <c r="J25" s="52">
        <f t="shared" si="3"/>
        <v>1031.2020460358058</v>
      </c>
      <c r="K25" s="54"/>
      <c r="L25" s="152">
        <v>6</v>
      </c>
      <c r="M25" s="15" t="s">
        <v>266</v>
      </c>
      <c r="N25" s="97"/>
      <c r="O25" s="97"/>
    </row>
    <row r="26" spans="1:15" ht="27.75" x14ac:dyDescent="0.4">
      <c r="A26" s="147"/>
      <c r="B26" s="102" t="s">
        <v>282</v>
      </c>
      <c r="C26" s="102" t="s">
        <v>272</v>
      </c>
      <c r="D26" s="15">
        <v>3</v>
      </c>
      <c r="E26" s="15">
        <f t="shared" ref="E26:E27" si="5">(36+6)*2</f>
        <v>84</v>
      </c>
      <c r="F26" s="15">
        <f t="shared" si="0"/>
        <v>252</v>
      </c>
      <c r="G26" s="15">
        <v>0.8</v>
      </c>
      <c r="H26" s="16">
        <f t="shared" si="1"/>
        <v>201.60000000000002</v>
      </c>
      <c r="I26" s="49"/>
      <c r="J26" s="52">
        <f t="shared" si="3"/>
        <v>1031.2020460358058</v>
      </c>
      <c r="K26" s="54"/>
      <c r="L26" s="153"/>
      <c r="M26" s="15" t="s">
        <v>266</v>
      </c>
      <c r="N26" s="97"/>
      <c r="O26" s="97"/>
    </row>
    <row r="27" spans="1:15" ht="27.75" x14ac:dyDescent="0.4">
      <c r="A27" s="147"/>
      <c r="B27" s="102" t="s">
        <v>283</v>
      </c>
      <c r="C27" s="102" t="s">
        <v>272</v>
      </c>
      <c r="D27" s="15">
        <v>3</v>
      </c>
      <c r="E27" s="15">
        <f t="shared" si="5"/>
        <v>84</v>
      </c>
      <c r="F27" s="15">
        <f t="shared" si="0"/>
        <v>252</v>
      </c>
      <c r="G27" s="15">
        <v>0.8</v>
      </c>
      <c r="H27" s="16">
        <f t="shared" si="1"/>
        <v>201.60000000000002</v>
      </c>
      <c r="I27" s="49"/>
      <c r="J27" s="52">
        <f t="shared" si="3"/>
        <v>1031.2020460358058</v>
      </c>
      <c r="K27" s="54"/>
      <c r="L27" s="154"/>
      <c r="M27" s="15" t="s">
        <v>266</v>
      </c>
      <c r="N27" s="97"/>
      <c r="O27" s="97"/>
    </row>
    <row r="28" spans="1:15" ht="27.75" x14ac:dyDescent="0.4">
      <c r="A28" s="17"/>
      <c r="B28" s="102"/>
      <c r="C28" s="102"/>
      <c r="D28" s="17"/>
      <c r="E28" s="17"/>
      <c r="F28" s="15"/>
      <c r="G28" s="15"/>
      <c r="H28" s="16"/>
      <c r="I28" s="49"/>
      <c r="J28" s="52"/>
      <c r="K28" s="54"/>
      <c r="L28" s="15"/>
      <c r="M28" s="15"/>
      <c r="N28" s="97"/>
      <c r="O28" s="97"/>
    </row>
    <row r="29" spans="1:15" ht="27.75" x14ac:dyDescent="0.4">
      <c r="A29" s="99" t="s">
        <v>48</v>
      </c>
      <c r="B29" s="102" t="s">
        <v>284</v>
      </c>
      <c r="C29" s="102" t="s">
        <v>272</v>
      </c>
      <c r="D29" s="15">
        <v>8</v>
      </c>
      <c r="E29" s="15">
        <f>(36+6)*2</f>
        <v>84</v>
      </c>
      <c r="F29" s="15">
        <f t="shared" si="0"/>
        <v>672</v>
      </c>
      <c r="G29" s="15">
        <v>0.8</v>
      </c>
      <c r="H29" s="16">
        <f t="shared" si="1"/>
        <v>537.6</v>
      </c>
      <c r="I29" s="49"/>
      <c r="J29" s="52"/>
      <c r="K29" s="54">
        <f t="shared" si="4"/>
        <v>2749.8721227621481</v>
      </c>
      <c r="L29" s="15">
        <v>6</v>
      </c>
      <c r="M29" s="15" t="s">
        <v>266</v>
      </c>
      <c r="N29" s="97"/>
      <c r="O29" s="97"/>
    </row>
    <row r="30" spans="1:15" ht="27.75" x14ac:dyDescent="0.4">
      <c r="A30" s="17"/>
      <c r="B30" s="102"/>
      <c r="C30" s="102"/>
      <c r="D30" s="17"/>
      <c r="E30" s="17"/>
      <c r="F30" s="15"/>
      <c r="G30" s="15"/>
      <c r="H30" s="16"/>
      <c r="I30" s="49"/>
      <c r="J30" s="52"/>
      <c r="K30" s="54"/>
      <c r="L30" s="15"/>
      <c r="M30" s="15"/>
      <c r="N30" s="97"/>
      <c r="O30" s="97"/>
    </row>
    <row r="31" spans="1:15" ht="27.75" x14ac:dyDescent="0.4">
      <c r="A31" s="38" t="s">
        <v>57</v>
      </c>
      <c r="B31" s="102" t="s">
        <v>285</v>
      </c>
      <c r="C31" s="102" t="s">
        <v>278</v>
      </c>
      <c r="D31" s="15">
        <v>9</v>
      </c>
      <c r="E31" s="15">
        <f>(36+6)*1</f>
        <v>42</v>
      </c>
      <c r="F31" s="15">
        <f t="shared" si="0"/>
        <v>378</v>
      </c>
      <c r="G31" s="15">
        <v>0.8</v>
      </c>
      <c r="H31" s="16">
        <f t="shared" si="1"/>
        <v>302.40000000000003</v>
      </c>
      <c r="I31" s="49">
        <f t="shared" si="2"/>
        <v>1546.8030690537087</v>
      </c>
      <c r="J31" s="52"/>
      <c r="K31" s="54"/>
      <c r="L31" s="15">
        <v>6</v>
      </c>
      <c r="M31" s="15" t="s">
        <v>266</v>
      </c>
      <c r="N31" s="97"/>
      <c r="O31" s="97"/>
    </row>
    <row r="32" spans="1:15" ht="27.75" x14ac:dyDescent="0.4">
      <c r="A32" s="17"/>
      <c r="B32" s="102"/>
      <c r="C32" s="102"/>
      <c r="D32" s="17"/>
      <c r="E32" s="17"/>
      <c r="F32" s="15"/>
      <c r="G32" s="15"/>
      <c r="H32" s="16"/>
      <c r="I32" s="49"/>
      <c r="J32" s="52"/>
      <c r="K32" s="54"/>
      <c r="L32" s="15"/>
      <c r="M32" s="15"/>
      <c r="N32" s="97"/>
      <c r="O32" s="97"/>
    </row>
    <row r="33" spans="1:15" ht="27.75" x14ac:dyDescent="0.4">
      <c r="A33" s="37" t="s">
        <v>61</v>
      </c>
      <c r="B33" s="102" t="s">
        <v>284</v>
      </c>
      <c r="C33" s="102" t="s">
        <v>272</v>
      </c>
      <c r="D33" s="15">
        <v>8</v>
      </c>
      <c r="E33" s="15">
        <f>(36+6)*2</f>
        <v>84</v>
      </c>
      <c r="F33" s="15">
        <f t="shared" si="0"/>
        <v>672</v>
      </c>
      <c r="G33" s="15">
        <v>0.8</v>
      </c>
      <c r="H33" s="16">
        <f t="shared" si="1"/>
        <v>537.6</v>
      </c>
      <c r="I33" s="49"/>
      <c r="J33" s="52">
        <f t="shared" si="3"/>
        <v>2749.8721227621481</v>
      </c>
      <c r="K33" s="54"/>
      <c r="L33" s="15">
        <v>6</v>
      </c>
      <c r="M33" s="15" t="s">
        <v>266</v>
      </c>
      <c r="N33" s="97"/>
      <c r="O33" s="97"/>
    </row>
    <row r="34" spans="1:15" ht="27.75" x14ac:dyDescent="0.4">
      <c r="A34" s="17"/>
      <c r="B34" s="102"/>
      <c r="C34" s="102"/>
      <c r="D34" s="17"/>
      <c r="E34" s="17"/>
      <c r="F34" s="15"/>
      <c r="G34" s="15"/>
      <c r="H34" s="16"/>
      <c r="I34" s="49"/>
      <c r="J34" s="52"/>
      <c r="K34" s="54"/>
      <c r="L34" s="15"/>
      <c r="M34" s="15"/>
      <c r="N34" s="97"/>
      <c r="O34" s="97"/>
    </row>
    <row r="35" spans="1:15" ht="27.75" x14ac:dyDescent="0.4">
      <c r="A35" s="36" t="s">
        <v>63</v>
      </c>
      <c r="B35" s="102" t="s">
        <v>286</v>
      </c>
      <c r="C35" s="102" t="s">
        <v>272</v>
      </c>
      <c r="D35" s="15">
        <v>3</v>
      </c>
      <c r="E35" s="15">
        <f>(36+6)*2</f>
        <v>84</v>
      </c>
      <c r="F35" s="15">
        <f>E35*D35</f>
        <v>252</v>
      </c>
      <c r="G35" s="15">
        <v>0.8</v>
      </c>
      <c r="H35" s="16">
        <f>F35*G35</f>
        <v>201.60000000000002</v>
      </c>
      <c r="I35" s="49"/>
      <c r="J35" s="52"/>
      <c r="K35" s="54">
        <f t="shared" si="4"/>
        <v>1031.2020460358058</v>
      </c>
      <c r="L35" s="15">
        <v>6</v>
      </c>
      <c r="M35" s="15" t="s">
        <v>266</v>
      </c>
      <c r="N35" s="97"/>
      <c r="O35" s="97"/>
    </row>
    <row r="36" spans="1:15" x14ac:dyDescent="0.4">
      <c r="A36" s="17"/>
      <c r="B36" s="17"/>
      <c r="C36" s="17"/>
      <c r="D36" s="17"/>
      <c r="E36" s="17"/>
      <c r="F36" s="15"/>
      <c r="G36" s="15"/>
      <c r="H36" s="16"/>
      <c r="I36" s="49"/>
      <c r="J36" s="52"/>
      <c r="K36" s="54"/>
      <c r="L36" s="15"/>
      <c r="M36" s="15"/>
      <c r="N36" s="97"/>
      <c r="O36" s="97"/>
    </row>
    <row r="37" spans="1:15" ht="25.7" customHeight="1" x14ac:dyDescent="0.4">
      <c r="A37" s="164" t="s">
        <v>64</v>
      </c>
      <c r="B37" s="15" t="s">
        <v>287</v>
      </c>
      <c r="C37" s="94" t="s">
        <v>288</v>
      </c>
      <c r="D37" s="15">
        <v>6</v>
      </c>
      <c r="E37" s="15">
        <v>25.7</v>
      </c>
      <c r="F37" s="15">
        <f t="shared" ref="F37:F48" si="6">E37*D37</f>
        <v>154.19999999999999</v>
      </c>
      <c r="G37" s="15">
        <v>0.8</v>
      </c>
      <c r="H37" s="16">
        <f t="shared" ref="H37:H48" si="7">F37*G37</f>
        <v>123.36</v>
      </c>
      <c r="I37" s="49">
        <f t="shared" si="2"/>
        <v>630.99744245524289</v>
      </c>
      <c r="J37" s="52"/>
      <c r="K37" s="54"/>
      <c r="L37" s="152">
        <v>6</v>
      </c>
      <c r="M37" s="15" t="s">
        <v>266</v>
      </c>
      <c r="N37" s="97"/>
      <c r="O37" s="97"/>
    </row>
    <row r="38" spans="1:15" ht="25.7" customHeight="1" x14ac:dyDescent="0.4">
      <c r="A38" s="165"/>
      <c r="B38" s="95" t="s">
        <v>289</v>
      </c>
      <c r="C38" s="94" t="s">
        <v>290</v>
      </c>
      <c r="D38" s="17">
        <v>3</v>
      </c>
      <c r="E38" s="15">
        <v>1.2</v>
      </c>
      <c r="F38" s="15">
        <f t="shared" si="6"/>
        <v>3.5999999999999996</v>
      </c>
      <c r="G38" s="15">
        <v>0.8</v>
      </c>
      <c r="H38" s="16">
        <f t="shared" si="7"/>
        <v>2.88</v>
      </c>
      <c r="I38" s="49">
        <f t="shared" si="2"/>
        <v>14.731457800511508</v>
      </c>
      <c r="J38" s="52"/>
      <c r="K38" s="54"/>
      <c r="L38" s="154"/>
      <c r="M38" s="15" t="s">
        <v>266</v>
      </c>
      <c r="N38" s="97"/>
      <c r="O38" s="97"/>
    </row>
    <row r="39" spans="1:15" x14ac:dyDescent="0.4">
      <c r="A39" s="15"/>
      <c r="B39" s="15"/>
      <c r="C39" s="15"/>
      <c r="D39" s="15"/>
      <c r="E39" s="15"/>
      <c r="F39" s="15"/>
      <c r="G39" s="15"/>
      <c r="H39" s="16"/>
      <c r="I39" s="49"/>
      <c r="J39" s="52"/>
      <c r="K39" s="54"/>
      <c r="L39" s="15"/>
      <c r="M39" s="15"/>
      <c r="N39" s="97"/>
      <c r="O39" s="97"/>
    </row>
    <row r="40" spans="1:15" x14ac:dyDescent="0.4">
      <c r="A40" s="37" t="s">
        <v>65</v>
      </c>
      <c r="B40" s="95" t="s">
        <v>289</v>
      </c>
      <c r="C40" s="17" t="s">
        <v>290</v>
      </c>
      <c r="D40" s="15">
        <v>10</v>
      </c>
      <c r="E40" s="15">
        <v>1.2</v>
      </c>
      <c r="F40" s="15">
        <f t="shared" si="6"/>
        <v>12</v>
      </c>
      <c r="G40" s="15">
        <v>0.8</v>
      </c>
      <c r="H40" s="16">
        <f t="shared" si="7"/>
        <v>9.6000000000000014</v>
      </c>
      <c r="I40" s="49"/>
      <c r="J40" s="52">
        <f t="shared" si="3"/>
        <v>49.10485933503837</v>
      </c>
      <c r="K40" s="54"/>
      <c r="L40" s="15">
        <v>6</v>
      </c>
      <c r="M40" s="15" t="s">
        <v>266</v>
      </c>
      <c r="N40" s="97"/>
      <c r="O40" s="97"/>
    </row>
    <row r="41" spans="1:15" x14ac:dyDescent="0.4">
      <c r="A41" s="17"/>
      <c r="B41" s="95"/>
      <c r="C41" s="17"/>
      <c r="D41" s="15"/>
      <c r="E41" s="15"/>
      <c r="F41" s="15"/>
      <c r="G41" s="15"/>
      <c r="H41" s="16"/>
      <c r="I41" s="49"/>
      <c r="J41" s="52"/>
      <c r="K41" s="54"/>
      <c r="L41" s="15"/>
      <c r="M41" s="15"/>
      <c r="N41" s="97"/>
      <c r="O41" s="97"/>
    </row>
    <row r="42" spans="1:15" x14ac:dyDescent="0.4">
      <c r="A42" s="36" t="s">
        <v>66</v>
      </c>
      <c r="B42" s="95" t="s">
        <v>289</v>
      </c>
      <c r="C42" s="17" t="s">
        <v>290</v>
      </c>
      <c r="D42" s="15">
        <v>10</v>
      </c>
      <c r="E42" s="15">
        <v>1.2</v>
      </c>
      <c r="F42" s="15">
        <f t="shared" si="6"/>
        <v>12</v>
      </c>
      <c r="G42" s="15">
        <v>0.8</v>
      </c>
      <c r="H42" s="16">
        <f t="shared" si="7"/>
        <v>9.6000000000000014</v>
      </c>
      <c r="I42" s="49"/>
      <c r="J42" s="52"/>
      <c r="K42" s="54">
        <f t="shared" si="4"/>
        <v>49.10485933503837</v>
      </c>
      <c r="L42" s="15">
        <v>6</v>
      </c>
      <c r="M42" s="15" t="s">
        <v>266</v>
      </c>
      <c r="N42" s="97"/>
      <c r="O42" s="97"/>
    </row>
    <row r="43" spans="1:15" x14ac:dyDescent="0.4">
      <c r="A43" s="17"/>
      <c r="B43" s="15"/>
      <c r="C43" s="15"/>
      <c r="D43" s="15"/>
      <c r="E43" s="15"/>
      <c r="F43" s="15"/>
      <c r="G43" s="15"/>
      <c r="H43" s="16"/>
      <c r="I43" s="49"/>
      <c r="J43" s="52"/>
      <c r="K43" s="54"/>
      <c r="L43" s="15"/>
      <c r="M43" s="15"/>
      <c r="N43" s="97"/>
      <c r="O43" s="97"/>
    </row>
    <row r="44" spans="1:15" x14ac:dyDescent="0.4">
      <c r="A44" s="38" t="s">
        <v>68</v>
      </c>
      <c r="B44" s="95" t="s">
        <v>154</v>
      </c>
      <c r="C44" s="94" t="s">
        <v>291</v>
      </c>
      <c r="D44" s="15">
        <v>8</v>
      </c>
      <c r="E44" s="15">
        <v>2.5</v>
      </c>
      <c r="F44" s="15">
        <f t="shared" si="6"/>
        <v>20</v>
      </c>
      <c r="G44" s="15">
        <v>0.8</v>
      </c>
      <c r="H44" s="16">
        <f t="shared" si="7"/>
        <v>16</v>
      </c>
      <c r="I44" s="49">
        <f t="shared" si="2"/>
        <v>81.84143222506394</v>
      </c>
      <c r="J44" s="52"/>
      <c r="K44" s="54"/>
      <c r="L44" s="15">
        <v>6</v>
      </c>
      <c r="M44" s="15" t="s">
        <v>266</v>
      </c>
      <c r="N44" s="97"/>
      <c r="O44" s="97"/>
    </row>
    <row r="45" spans="1:15" x14ac:dyDescent="0.4">
      <c r="A45" s="15"/>
      <c r="B45" s="15"/>
      <c r="C45" s="15"/>
      <c r="D45" s="17"/>
      <c r="E45" s="15"/>
      <c r="F45" s="15"/>
      <c r="G45" s="15"/>
      <c r="H45" s="16"/>
      <c r="I45" s="49"/>
      <c r="J45" s="52"/>
      <c r="K45" s="54"/>
      <c r="L45" s="15"/>
      <c r="M45" s="15"/>
      <c r="N45" s="97"/>
      <c r="O45" s="97"/>
    </row>
    <row r="46" spans="1:15" x14ac:dyDescent="0.4">
      <c r="A46" s="37" t="s">
        <v>69</v>
      </c>
      <c r="B46" s="95" t="s">
        <v>154</v>
      </c>
      <c r="C46" s="94" t="s">
        <v>291</v>
      </c>
      <c r="D46" s="15">
        <v>10</v>
      </c>
      <c r="E46" s="15">
        <v>2.5</v>
      </c>
      <c r="F46" s="15">
        <f t="shared" si="6"/>
        <v>25</v>
      </c>
      <c r="G46" s="15">
        <v>0.8</v>
      </c>
      <c r="H46" s="16">
        <f t="shared" si="7"/>
        <v>20</v>
      </c>
      <c r="I46" s="49"/>
      <c r="J46" s="52">
        <f t="shared" si="3"/>
        <v>102.30179028132991</v>
      </c>
      <c r="K46" s="54"/>
      <c r="L46" s="15">
        <v>6</v>
      </c>
      <c r="M46" s="15" t="s">
        <v>266</v>
      </c>
      <c r="N46" s="97"/>
      <c r="O46" s="97"/>
    </row>
    <row r="47" spans="1:15" x14ac:dyDescent="0.4">
      <c r="A47" s="17"/>
      <c r="B47" s="15"/>
      <c r="C47" s="15"/>
      <c r="D47" s="15"/>
      <c r="E47" s="15"/>
      <c r="F47" s="15"/>
      <c r="G47" s="15"/>
      <c r="H47" s="16"/>
      <c r="I47" s="49"/>
      <c r="J47" s="52"/>
      <c r="K47" s="54"/>
      <c r="L47" s="15"/>
      <c r="M47" s="15"/>
      <c r="N47" s="97"/>
      <c r="O47" s="97"/>
    </row>
    <row r="48" spans="1:15" x14ac:dyDescent="0.4">
      <c r="A48" s="36" t="s">
        <v>71</v>
      </c>
      <c r="B48" s="95" t="s">
        <v>292</v>
      </c>
      <c r="C48" s="94" t="s">
        <v>293</v>
      </c>
      <c r="D48" s="15">
        <v>2</v>
      </c>
      <c r="E48" s="15">
        <f>25.7</f>
        <v>25.7</v>
      </c>
      <c r="F48" s="15">
        <f t="shared" si="6"/>
        <v>51.4</v>
      </c>
      <c r="G48" s="15">
        <v>0.8</v>
      </c>
      <c r="H48" s="16">
        <f t="shared" si="7"/>
        <v>41.120000000000005</v>
      </c>
      <c r="I48" s="49"/>
      <c r="J48" s="52"/>
      <c r="K48" s="54">
        <f t="shared" si="4"/>
        <v>210.33248081841435</v>
      </c>
      <c r="L48" s="15">
        <v>6</v>
      </c>
      <c r="M48" s="15" t="s">
        <v>266</v>
      </c>
      <c r="N48" s="97"/>
      <c r="O48" s="97"/>
    </row>
    <row r="49" spans="1:18" x14ac:dyDescent="0.4">
      <c r="A49" s="17"/>
      <c r="B49" s="15"/>
      <c r="C49" s="15"/>
      <c r="D49" s="17"/>
      <c r="E49" s="15"/>
      <c r="F49" s="15"/>
      <c r="G49" s="15"/>
      <c r="H49" s="16"/>
      <c r="I49" s="49"/>
      <c r="J49" s="52"/>
      <c r="K49" s="54"/>
      <c r="L49" s="15"/>
      <c r="M49" s="15"/>
      <c r="N49" s="97"/>
      <c r="O49" s="97"/>
    </row>
    <row r="50" spans="1:18" x14ac:dyDescent="0.35">
      <c r="A50" s="104" t="s">
        <v>108</v>
      </c>
      <c r="B50" s="27"/>
      <c r="C50" s="27"/>
      <c r="D50" s="27">
        <f>SUM(D5:D49)</f>
        <v>136</v>
      </c>
      <c r="E50" s="27">
        <f>SUM(E5:E49)</f>
        <v>1446.0000000000002</v>
      </c>
      <c r="F50" s="73">
        <f>SUM(F5:F49)</f>
        <v>6326.2</v>
      </c>
      <c r="G50" s="27"/>
      <c r="H50" s="27">
        <f>SUM(H5:H49)</f>
        <v>5060.9600000000009</v>
      </c>
      <c r="I50" s="28">
        <f>SUM(I5:I49)</f>
        <v>7602.2506393861895</v>
      </c>
      <c r="J50" s="29">
        <f t="shared" ref="J50" si="8">SUM(J5:J49)</f>
        <v>9432.2250639386184</v>
      </c>
      <c r="K50" s="96">
        <f>SUM(K5:K49)</f>
        <v>8852.7877237851681</v>
      </c>
      <c r="L50" s="15"/>
      <c r="M50" s="15"/>
      <c r="N50" s="97"/>
      <c r="O50" s="97"/>
    </row>
    <row r="51" spans="1:18" x14ac:dyDescent="0.4">
      <c r="A51" s="17"/>
      <c r="B51" s="71"/>
      <c r="F51" s="71"/>
      <c r="G51" s="71"/>
      <c r="H51" s="71"/>
      <c r="I51" s="71"/>
      <c r="J51" s="71"/>
      <c r="K51" s="71"/>
      <c r="L51" s="71"/>
      <c r="M51" s="71"/>
      <c r="N51" s="97"/>
      <c r="O51" s="97"/>
    </row>
    <row r="52" spans="1:18" x14ac:dyDescent="0.4">
      <c r="A52" s="71"/>
      <c r="B52" s="75"/>
      <c r="C52" s="75"/>
      <c r="F52" s="71"/>
      <c r="G52" s="71"/>
      <c r="H52" s="71"/>
      <c r="I52" s="75"/>
      <c r="J52" s="75"/>
      <c r="K52" s="75"/>
      <c r="L52" s="75"/>
      <c r="M52" s="75"/>
      <c r="N52" s="97"/>
      <c r="O52" s="97"/>
    </row>
    <row r="53" spans="1:18" x14ac:dyDescent="0.4">
      <c r="A53" s="71"/>
      <c r="B53" s="71"/>
      <c r="F53" s="71"/>
      <c r="G53" s="71"/>
      <c r="H53" s="71"/>
      <c r="I53" s="71"/>
      <c r="J53" s="71"/>
      <c r="K53" s="71"/>
      <c r="L53" s="71"/>
      <c r="M53" s="71"/>
      <c r="N53" s="97"/>
      <c r="O53" s="97"/>
      <c r="R53" s="203"/>
    </row>
    <row r="54" spans="1:18" x14ac:dyDescent="0.4">
      <c r="A54" s="71"/>
      <c r="B54" s="71"/>
      <c r="F54" s="71"/>
      <c r="G54" s="71"/>
      <c r="H54" s="71"/>
      <c r="I54" s="71"/>
      <c r="J54" s="71"/>
      <c r="K54" s="71"/>
      <c r="L54" s="71"/>
      <c r="M54" s="71"/>
      <c r="N54" s="97"/>
      <c r="O54" s="97"/>
      <c r="R54" s="203"/>
    </row>
    <row r="55" spans="1:18" x14ac:dyDescent="0.4">
      <c r="A55" s="71"/>
      <c r="B55" s="71"/>
      <c r="F55" s="71"/>
      <c r="G55" s="71"/>
      <c r="H55" s="71"/>
      <c r="I55" s="71"/>
      <c r="J55" s="71"/>
      <c r="K55" s="71"/>
      <c r="L55" s="71"/>
      <c r="M55" s="71"/>
      <c r="N55" s="97"/>
      <c r="O55" s="97"/>
    </row>
    <row r="56" spans="1:18" x14ac:dyDescent="0.4">
      <c r="A56" s="71"/>
      <c r="N56" s="97"/>
      <c r="O56" s="97"/>
    </row>
    <row r="57" spans="1:18" x14ac:dyDescent="0.4">
      <c r="B57" s="97"/>
      <c r="C57" s="75"/>
      <c r="L57" s="97"/>
      <c r="M57" s="97"/>
      <c r="N57" s="97"/>
      <c r="O57" s="97"/>
    </row>
    <row r="58" spans="1:18" x14ac:dyDescent="0.4">
      <c r="B58" s="97"/>
      <c r="C58" s="75"/>
      <c r="L58" s="97"/>
      <c r="M58" s="97"/>
      <c r="N58" s="97"/>
      <c r="O58" s="97"/>
    </row>
    <row r="59" spans="1:18" x14ac:dyDescent="0.4">
      <c r="N59" s="97"/>
      <c r="O59" s="97"/>
    </row>
    <row r="60" spans="1:18" x14ac:dyDescent="0.4">
      <c r="N60" s="97"/>
      <c r="O60" s="97"/>
    </row>
    <row r="61" spans="1:18" x14ac:dyDescent="0.4">
      <c r="N61" s="97"/>
      <c r="O61" s="97"/>
    </row>
    <row r="62" spans="1:18" x14ac:dyDescent="0.4">
      <c r="N62" s="97"/>
      <c r="O62" s="97"/>
    </row>
    <row r="63" spans="1:18" x14ac:dyDescent="0.4">
      <c r="N63" s="97"/>
      <c r="O63" s="97"/>
    </row>
    <row r="64" spans="1:18" x14ac:dyDescent="0.4">
      <c r="N64" s="97"/>
      <c r="O64" s="97"/>
    </row>
    <row r="65" spans="14:15" x14ac:dyDescent="0.4">
      <c r="N65" s="97"/>
      <c r="O65" s="97"/>
    </row>
    <row r="66" spans="14:15" x14ac:dyDescent="0.4">
      <c r="N66" s="97"/>
      <c r="O66" s="97"/>
    </row>
    <row r="67" spans="14:15" x14ac:dyDescent="0.4">
      <c r="N67" s="97"/>
      <c r="O67" s="97"/>
    </row>
    <row r="68" spans="14:15" x14ac:dyDescent="0.4">
      <c r="N68" s="97"/>
      <c r="O68" s="97"/>
    </row>
    <row r="69" spans="14:15" x14ac:dyDescent="0.4">
      <c r="N69" s="97"/>
      <c r="O69" s="97"/>
    </row>
    <row r="70" spans="14:15" x14ac:dyDescent="0.4">
      <c r="N70" s="97"/>
      <c r="O70" s="97"/>
    </row>
    <row r="71" spans="14:15" x14ac:dyDescent="0.4">
      <c r="N71" s="97"/>
      <c r="O71" s="97"/>
    </row>
    <row r="72" spans="14:15" x14ac:dyDescent="0.4">
      <c r="N72" s="97"/>
      <c r="O72" s="97"/>
    </row>
    <row r="73" spans="14:15" x14ac:dyDescent="0.4">
      <c r="N73" s="97"/>
      <c r="O73" s="97"/>
    </row>
    <row r="74" spans="14:15" x14ac:dyDescent="0.4">
      <c r="N74" s="97"/>
      <c r="O74" s="97"/>
    </row>
    <row r="75" spans="14:15" x14ac:dyDescent="0.4">
      <c r="N75" s="97"/>
      <c r="O75" s="97"/>
    </row>
    <row r="76" spans="14:15" x14ac:dyDescent="0.4">
      <c r="N76" s="97"/>
      <c r="O76" s="97"/>
    </row>
    <row r="77" spans="14:15" x14ac:dyDescent="0.4">
      <c r="N77" s="97"/>
      <c r="O77" s="97"/>
    </row>
    <row r="78" spans="14:15" x14ac:dyDescent="0.4">
      <c r="N78" s="97"/>
      <c r="O78" s="97"/>
    </row>
    <row r="79" spans="14:15" x14ac:dyDescent="0.4">
      <c r="N79" s="97"/>
      <c r="O79" s="97"/>
    </row>
    <row r="80" spans="14:15" x14ac:dyDescent="0.4">
      <c r="N80" s="97"/>
      <c r="O80" s="97"/>
    </row>
    <row r="81" spans="14:18" x14ac:dyDescent="0.4">
      <c r="N81" s="97"/>
      <c r="O81" s="97"/>
    </row>
    <row r="82" spans="14:18" x14ac:dyDescent="0.4">
      <c r="N82" s="97"/>
      <c r="O82" s="97"/>
    </row>
    <row r="83" spans="14:18" x14ac:dyDescent="0.4">
      <c r="N83" s="97"/>
      <c r="O83" s="97"/>
    </row>
    <row r="84" spans="14:18" x14ac:dyDescent="0.4">
      <c r="N84" s="97"/>
      <c r="O84" s="97"/>
    </row>
    <row r="85" spans="14:18" x14ac:dyDescent="0.4">
      <c r="N85" s="97"/>
      <c r="O85" s="97"/>
    </row>
    <row r="86" spans="14:18" x14ac:dyDescent="0.4">
      <c r="N86" s="97"/>
      <c r="O86" s="97"/>
    </row>
    <row r="87" spans="14:18" x14ac:dyDescent="0.4">
      <c r="N87" s="97"/>
      <c r="O87" s="97"/>
    </row>
    <row r="88" spans="14:18" x14ac:dyDescent="0.4">
      <c r="N88" s="97"/>
      <c r="O88" s="97"/>
    </row>
    <row r="89" spans="14:18" x14ac:dyDescent="0.4">
      <c r="N89" s="97"/>
      <c r="O89" s="97"/>
    </row>
    <row r="95" spans="14:18" x14ac:dyDescent="0.4">
      <c r="R95" s="97"/>
    </row>
    <row r="96" spans="14:18" x14ac:dyDescent="0.4">
      <c r="R96" s="100"/>
    </row>
  </sheetData>
  <mergeCells count="20">
    <mergeCell ref="R53:R54"/>
    <mergeCell ref="A22:A23"/>
    <mergeCell ref="L22:L23"/>
    <mergeCell ref="A25:A27"/>
    <mergeCell ref="L25:L27"/>
    <mergeCell ref="A37:A38"/>
    <mergeCell ref="L37:L38"/>
    <mergeCell ref="A9:A10"/>
    <mergeCell ref="L9:L10"/>
    <mergeCell ref="A12:A13"/>
    <mergeCell ref="L12:L13"/>
    <mergeCell ref="A15:A16"/>
    <mergeCell ref="L15:L16"/>
    <mergeCell ref="A5:A7"/>
    <mergeCell ref="L5:L7"/>
    <mergeCell ref="A1:M1"/>
    <mergeCell ref="A2:M2"/>
    <mergeCell ref="A3:A4"/>
    <mergeCell ref="B3:C3"/>
    <mergeCell ref="D3:D4"/>
  </mergeCells>
  <pageMargins left="0.7" right="0.7" top="0.75" bottom="0.75" header="0.3" footer="0.3"/>
  <pageSetup paperSize="14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17DF-A253-471C-BCD5-8E05F6046DA0}">
  <dimension ref="A1:M22"/>
  <sheetViews>
    <sheetView zoomScale="70" zoomScaleNormal="70" workbookViewId="0">
      <selection activeCell="J22" sqref="J22"/>
    </sheetView>
  </sheetViews>
  <sheetFormatPr defaultRowHeight="15.75" x14ac:dyDescent="0.25"/>
  <cols>
    <col min="1" max="1" width="5.625" bestFit="1" customWidth="1"/>
    <col min="2" max="2" width="30.125" bestFit="1" customWidth="1"/>
    <col min="3" max="3" width="27.875" bestFit="1" customWidth="1"/>
    <col min="4" max="4" width="15.5" bestFit="1" customWidth="1"/>
    <col min="5" max="5" width="19.25" bestFit="1" customWidth="1"/>
    <col min="6" max="6" width="15" bestFit="1" customWidth="1"/>
    <col min="7" max="7" width="23.25" bestFit="1" customWidth="1"/>
    <col min="8" max="8" width="29.375" bestFit="1" customWidth="1"/>
    <col min="9" max="9" width="12.5" bestFit="1" customWidth="1"/>
    <col min="10" max="10" width="42.5" bestFit="1" customWidth="1"/>
  </cols>
  <sheetData>
    <row r="1" spans="1:13" ht="25.5" x14ac:dyDescent="0.25">
      <c r="A1" s="173" t="s">
        <v>187</v>
      </c>
      <c r="B1" s="173"/>
      <c r="C1" s="173"/>
      <c r="D1" s="173"/>
      <c r="E1" s="173"/>
      <c r="F1" s="173"/>
      <c r="G1" s="173"/>
      <c r="H1" s="173"/>
      <c r="I1" s="173"/>
      <c r="J1" s="173"/>
      <c r="K1" s="108"/>
      <c r="L1" s="108"/>
      <c r="M1" s="108"/>
    </row>
    <row r="2" spans="1:13" ht="25.5" x14ac:dyDescent="0.35">
      <c r="A2" s="176" t="s">
        <v>234</v>
      </c>
      <c r="B2" s="176"/>
      <c r="C2" s="176"/>
      <c r="D2" s="176"/>
      <c r="E2" s="176"/>
      <c r="F2" s="176"/>
      <c r="G2" s="176"/>
      <c r="H2" s="176"/>
      <c r="I2" s="176"/>
      <c r="J2" s="176"/>
    </row>
    <row r="3" spans="1:13" ht="25.5" x14ac:dyDescent="0.35">
      <c r="A3" s="86" t="s">
        <v>190</v>
      </c>
      <c r="B3" s="86" t="s">
        <v>191</v>
      </c>
      <c r="C3" s="86" t="s">
        <v>192</v>
      </c>
      <c r="D3" s="86" t="s">
        <v>193</v>
      </c>
      <c r="E3" s="86" t="s">
        <v>194</v>
      </c>
      <c r="F3" s="86" t="s">
        <v>195</v>
      </c>
      <c r="G3" s="86" t="s">
        <v>196</v>
      </c>
      <c r="H3" s="86" t="s">
        <v>197</v>
      </c>
      <c r="I3" s="86" t="s">
        <v>198</v>
      </c>
      <c r="J3" s="86" t="s">
        <v>199</v>
      </c>
    </row>
    <row r="4" spans="1:13" ht="26.25" x14ac:dyDescent="0.4">
      <c r="A4" s="17">
        <v>1</v>
      </c>
      <c r="B4" s="95" t="s">
        <v>294</v>
      </c>
      <c r="C4" s="95" t="s">
        <v>109</v>
      </c>
      <c r="D4" s="105">
        <v>20.6</v>
      </c>
      <c r="E4" s="106">
        <v>70</v>
      </c>
      <c r="F4" s="19">
        <f>D4*10.764</f>
        <v>221.73840000000001</v>
      </c>
      <c r="G4" s="52">
        <f>(F4*E4)/9500</f>
        <v>1.6338618947368422</v>
      </c>
      <c r="H4" s="17" t="s">
        <v>295</v>
      </c>
      <c r="I4" s="107">
        <v>1</v>
      </c>
      <c r="J4" s="15" t="s">
        <v>142</v>
      </c>
    </row>
    <row r="5" spans="1:13" ht="26.25" x14ac:dyDescent="0.4">
      <c r="A5" s="17">
        <v>2</v>
      </c>
      <c r="B5" s="95" t="s">
        <v>296</v>
      </c>
      <c r="C5" s="95" t="s">
        <v>246</v>
      </c>
      <c r="D5" s="105">
        <v>19.022099999999998</v>
      </c>
      <c r="E5" s="106">
        <v>70</v>
      </c>
      <c r="F5" s="19">
        <f t="shared" ref="F5:F22" si="0">D5*10.764</f>
        <v>204.75388439999998</v>
      </c>
      <c r="G5" s="52">
        <f t="shared" ref="G5:G22" si="1">(F5*E5)/9500</f>
        <v>1.5087128324210526</v>
      </c>
      <c r="H5" s="17" t="s">
        <v>295</v>
      </c>
      <c r="I5" s="107">
        <v>1</v>
      </c>
      <c r="J5" s="15" t="s">
        <v>142</v>
      </c>
    </row>
    <row r="6" spans="1:13" ht="26.25" x14ac:dyDescent="0.4">
      <c r="A6" s="17">
        <v>3</v>
      </c>
      <c r="B6" s="95" t="s">
        <v>297</v>
      </c>
      <c r="C6" s="95" t="s">
        <v>248</v>
      </c>
      <c r="D6" s="105">
        <v>23.067699999999999</v>
      </c>
      <c r="E6" s="106">
        <v>70</v>
      </c>
      <c r="F6" s="19">
        <f t="shared" si="0"/>
        <v>248.30072279999996</v>
      </c>
      <c r="G6" s="52">
        <f t="shared" si="1"/>
        <v>1.8295842732631575</v>
      </c>
      <c r="H6" s="17" t="s">
        <v>295</v>
      </c>
      <c r="I6" s="107">
        <v>1</v>
      </c>
      <c r="J6" s="15" t="s">
        <v>142</v>
      </c>
    </row>
    <row r="7" spans="1:13" ht="26.25" x14ac:dyDescent="0.4">
      <c r="A7" s="17">
        <v>4</v>
      </c>
      <c r="B7" s="95" t="s">
        <v>297</v>
      </c>
      <c r="C7" s="95" t="s">
        <v>249</v>
      </c>
      <c r="D7" s="105">
        <v>23.92</v>
      </c>
      <c r="E7" s="106">
        <v>70</v>
      </c>
      <c r="F7" s="19">
        <f t="shared" si="0"/>
        <v>257.47487999999998</v>
      </c>
      <c r="G7" s="52">
        <f t="shared" si="1"/>
        <v>1.8971833263157891</v>
      </c>
      <c r="H7" s="17" t="s">
        <v>295</v>
      </c>
      <c r="I7" s="107">
        <v>1</v>
      </c>
      <c r="J7" s="15" t="s">
        <v>142</v>
      </c>
    </row>
    <row r="8" spans="1:13" ht="26.25" x14ac:dyDescent="0.4">
      <c r="A8" s="17">
        <v>5</v>
      </c>
      <c r="B8" s="95" t="s">
        <v>216</v>
      </c>
      <c r="C8" s="95" t="s">
        <v>298</v>
      </c>
      <c r="D8" s="105">
        <v>14.691000000000001</v>
      </c>
      <c r="E8" s="106">
        <v>60</v>
      </c>
      <c r="F8" s="19">
        <f t="shared" si="0"/>
        <v>158.13392400000001</v>
      </c>
      <c r="G8" s="52">
        <f t="shared" si="1"/>
        <v>0.99874057263157889</v>
      </c>
      <c r="H8" s="17" t="s">
        <v>299</v>
      </c>
      <c r="I8" s="107">
        <v>1</v>
      </c>
      <c r="J8" s="15" t="s">
        <v>143</v>
      </c>
    </row>
    <row r="9" spans="1:13" ht="26.25" x14ac:dyDescent="0.4">
      <c r="A9" s="17">
        <v>6</v>
      </c>
      <c r="B9" s="95" t="s">
        <v>300</v>
      </c>
      <c r="C9" s="95" t="s">
        <v>301</v>
      </c>
      <c r="D9" s="105">
        <v>13.1</v>
      </c>
      <c r="E9" s="106">
        <v>70</v>
      </c>
      <c r="F9" s="19">
        <f t="shared" si="0"/>
        <v>141.00839999999999</v>
      </c>
      <c r="G9" s="52">
        <f t="shared" si="1"/>
        <v>1.0390092631578947</v>
      </c>
      <c r="H9" s="17" t="s">
        <v>201</v>
      </c>
      <c r="I9" s="107">
        <v>1</v>
      </c>
      <c r="J9" s="15" t="s">
        <v>139</v>
      </c>
    </row>
    <row r="10" spans="1:13" ht="26.25" x14ac:dyDescent="0.4">
      <c r="A10" s="17">
        <v>7</v>
      </c>
      <c r="B10" s="95" t="s">
        <v>252</v>
      </c>
      <c r="C10" s="95" t="s">
        <v>252</v>
      </c>
      <c r="D10" s="105">
        <v>9.1</v>
      </c>
      <c r="E10" s="106">
        <v>70</v>
      </c>
      <c r="F10" s="19">
        <f t="shared" si="0"/>
        <v>97.952399999999997</v>
      </c>
      <c r="G10" s="52">
        <f t="shared" si="1"/>
        <v>0.7217545263157894</v>
      </c>
      <c r="H10" s="17" t="s">
        <v>302</v>
      </c>
      <c r="I10" s="107">
        <v>1</v>
      </c>
      <c r="J10" s="15" t="s">
        <v>143</v>
      </c>
    </row>
    <row r="11" spans="1:13" ht="26.25" x14ac:dyDescent="0.4">
      <c r="A11" s="17">
        <v>8</v>
      </c>
      <c r="B11" s="95" t="s">
        <v>207</v>
      </c>
      <c r="C11" s="95" t="s">
        <v>303</v>
      </c>
      <c r="D11" s="105">
        <v>12.44</v>
      </c>
      <c r="E11" s="106">
        <v>60</v>
      </c>
      <c r="F11" s="19">
        <f t="shared" si="0"/>
        <v>133.90415999999999</v>
      </c>
      <c r="G11" s="52">
        <f t="shared" si="1"/>
        <v>0.84571048421052619</v>
      </c>
      <c r="H11" s="17" t="s">
        <v>325</v>
      </c>
      <c r="I11" s="107" t="s">
        <v>208</v>
      </c>
      <c r="J11" s="17" t="s">
        <v>304</v>
      </c>
    </row>
    <row r="12" spans="1:13" ht="26.25" x14ac:dyDescent="0.4">
      <c r="A12" s="17">
        <v>9</v>
      </c>
      <c r="B12" s="95" t="s">
        <v>305</v>
      </c>
      <c r="C12" s="95" t="s">
        <v>305</v>
      </c>
      <c r="D12" s="105">
        <v>15.852</v>
      </c>
      <c r="E12" s="106">
        <v>70</v>
      </c>
      <c r="F12" s="19">
        <f t="shared" si="0"/>
        <v>170.63092799999998</v>
      </c>
      <c r="G12" s="52">
        <f t="shared" si="1"/>
        <v>1.257280522105263</v>
      </c>
      <c r="H12" s="17" t="s">
        <v>201</v>
      </c>
      <c r="I12" s="107">
        <v>1</v>
      </c>
      <c r="J12" s="15" t="s">
        <v>139</v>
      </c>
    </row>
    <row r="13" spans="1:13" ht="26.25" x14ac:dyDescent="0.4">
      <c r="A13" s="17">
        <v>10</v>
      </c>
      <c r="B13" s="95" t="s">
        <v>306</v>
      </c>
      <c r="C13" s="95" t="s">
        <v>307</v>
      </c>
      <c r="D13" s="105">
        <v>176</v>
      </c>
      <c r="E13" s="106">
        <v>60</v>
      </c>
      <c r="F13" s="19">
        <f t="shared" si="0"/>
        <v>1894.4639999999999</v>
      </c>
      <c r="G13" s="52">
        <f t="shared" si="1"/>
        <v>11.965035789473683</v>
      </c>
      <c r="H13" s="17" t="s">
        <v>295</v>
      </c>
      <c r="I13" s="107">
        <v>6</v>
      </c>
      <c r="J13" s="15" t="s">
        <v>142</v>
      </c>
    </row>
    <row r="14" spans="1:13" ht="26.25" x14ac:dyDescent="0.4">
      <c r="A14" s="17">
        <v>11</v>
      </c>
      <c r="B14" s="95" t="s">
        <v>308</v>
      </c>
      <c r="C14" s="95" t="s">
        <v>309</v>
      </c>
      <c r="D14" s="105">
        <v>18.337499999999999</v>
      </c>
      <c r="E14" s="106">
        <v>60</v>
      </c>
      <c r="F14" s="19">
        <f t="shared" si="0"/>
        <v>197.38484999999997</v>
      </c>
      <c r="G14" s="52">
        <f t="shared" si="1"/>
        <v>1.2466411578947367</v>
      </c>
      <c r="H14" s="17" t="s">
        <v>310</v>
      </c>
      <c r="I14" s="107" t="s">
        <v>208</v>
      </c>
      <c r="J14" s="17" t="s">
        <v>304</v>
      </c>
    </row>
    <row r="15" spans="1:13" ht="26.25" x14ac:dyDescent="0.4">
      <c r="A15" s="17">
        <v>12</v>
      </c>
      <c r="B15" s="95" t="s">
        <v>311</v>
      </c>
      <c r="C15" s="95" t="s">
        <v>312</v>
      </c>
      <c r="D15" s="105">
        <v>18.337499999999999</v>
      </c>
      <c r="E15" s="106">
        <v>60</v>
      </c>
      <c r="F15" s="19">
        <f t="shared" si="0"/>
        <v>197.38484999999997</v>
      </c>
      <c r="G15" s="52">
        <f t="shared" si="1"/>
        <v>1.2466411578947367</v>
      </c>
      <c r="H15" s="17" t="s">
        <v>310</v>
      </c>
      <c r="I15" s="107" t="s">
        <v>208</v>
      </c>
      <c r="J15" s="17" t="s">
        <v>304</v>
      </c>
    </row>
    <row r="16" spans="1:13" ht="26.25" x14ac:dyDescent="0.4">
      <c r="A16" s="17">
        <v>13</v>
      </c>
      <c r="B16" s="95" t="s">
        <v>313</v>
      </c>
      <c r="C16" s="95" t="s">
        <v>314</v>
      </c>
      <c r="D16" s="105">
        <v>22.274999999999999</v>
      </c>
      <c r="E16" s="106">
        <v>60</v>
      </c>
      <c r="F16" s="19">
        <f t="shared" si="0"/>
        <v>239.76809999999998</v>
      </c>
      <c r="G16" s="52">
        <f t="shared" si="1"/>
        <v>1.5143248421052631</v>
      </c>
      <c r="H16" s="17" t="s">
        <v>315</v>
      </c>
      <c r="I16" s="107">
        <v>1</v>
      </c>
      <c r="J16" s="15" t="s">
        <v>139</v>
      </c>
    </row>
    <row r="17" spans="1:10" ht="26.25" x14ac:dyDescent="0.4">
      <c r="A17" s="17">
        <v>14</v>
      </c>
      <c r="B17" s="95" t="s">
        <v>207</v>
      </c>
      <c r="C17" s="95" t="s">
        <v>269</v>
      </c>
      <c r="D17" s="105">
        <v>11.5</v>
      </c>
      <c r="E17" s="106">
        <v>70</v>
      </c>
      <c r="F17" s="19">
        <f t="shared" si="0"/>
        <v>123.78599999999999</v>
      </c>
      <c r="G17" s="52">
        <f t="shared" si="1"/>
        <v>0.91210736842105244</v>
      </c>
      <c r="H17" s="17" t="s">
        <v>325</v>
      </c>
      <c r="I17" s="107" t="s">
        <v>208</v>
      </c>
      <c r="J17" s="17" t="s">
        <v>304</v>
      </c>
    </row>
    <row r="18" spans="1:10" ht="26.25" x14ac:dyDescent="0.4">
      <c r="A18" s="17">
        <v>15</v>
      </c>
      <c r="B18" s="95" t="s">
        <v>316</v>
      </c>
      <c r="C18" s="95" t="s">
        <v>317</v>
      </c>
      <c r="D18" s="105">
        <v>15.048</v>
      </c>
      <c r="E18" s="106">
        <v>60</v>
      </c>
      <c r="F18" s="19">
        <f t="shared" si="0"/>
        <v>161.97667199999998</v>
      </c>
      <c r="G18" s="52">
        <f t="shared" si="1"/>
        <v>1.0230105599999999</v>
      </c>
      <c r="H18" s="17" t="s">
        <v>201</v>
      </c>
      <c r="I18" s="107">
        <v>1</v>
      </c>
      <c r="J18" s="15" t="s">
        <v>139</v>
      </c>
    </row>
    <row r="19" spans="1:10" ht="26.25" x14ac:dyDescent="0.4">
      <c r="A19" s="17">
        <v>16</v>
      </c>
      <c r="B19" s="95" t="s">
        <v>318</v>
      </c>
      <c r="C19" s="95" t="s">
        <v>319</v>
      </c>
      <c r="D19" s="105">
        <v>17.57</v>
      </c>
      <c r="E19" s="106">
        <v>60</v>
      </c>
      <c r="F19" s="19">
        <f t="shared" si="0"/>
        <v>189.12348</v>
      </c>
      <c r="G19" s="52">
        <f t="shared" si="1"/>
        <v>1.1944640842105263</v>
      </c>
      <c r="H19" s="17" t="s">
        <v>201</v>
      </c>
      <c r="I19" s="107">
        <v>1</v>
      </c>
      <c r="J19" s="15" t="s">
        <v>139</v>
      </c>
    </row>
    <row r="20" spans="1:10" ht="26.25" x14ac:dyDescent="0.4">
      <c r="A20" s="17">
        <v>17</v>
      </c>
      <c r="B20" s="95" t="s">
        <v>316</v>
      </c>
      <c r="C20" s="95" t="s">
        <v>320</v>
      </c>
      <c r="D20" s="105">
        <v>16.49025</v>
      </c>
      <c r="E20" s="106">
        <v>70</v>
      </c>
      <c r="F20" s="19">
        <f t="shared" si="0"/>
        <v>177.50105099999999</v>
      </c>
      <c r="G20" s="52">
        <f t="shared" si="1"/>
        <v>1.3079024810526314</v>
      </c>
      <c r="H20" s="17" t="s">
        <v>201</v>
      </c>
      <c r="I20" s="107">
        <v>1</v>
      </c>
      <c r="J20" s="15" t="s">
        <v>139</v>
      </c>
    </row>
    <row r="21" spans="1:10" ht="26.25" x14ac:dyDescent="0.4">
      <c r="A21" s="17">
        <v>18</v>
      </c>
      <c r="B21" s="95" t="s">
        <v>321</v>
      </c>
      <c r="C21" s="95" t="s">
        <v>322</v>
      </c>
      <c r="D21" s="105">
        <v>16.49025</v>
      </c>
      <c r="E21" s="106">
        <v>70</v>
      </c>
      <c r="F21" s="19">
        <f t="shared" si="0"/>
        <v>177.50105099999999</v>
      </c>
      <c r="G21" s="52">
        <f t="shared" si="1"/>
        <v>1.3079024810526314</v>
      </c>
      <c r="H21" s="17" t="s">
        <v>201</v>
      </c>
      <c r="I21" s="107">
        <v>1</v>
      </c>
      <c r="J21" s="15" t="s">
        <v>139</v>
      </c>
    </row>
    <row r="22" spans="1:10" ht="26.25" x14ac:dyDescent="0.4">
      <c r="A22" s="17">
        <v>19</v>
      </c>
      <c r="B22" s="95" t="s">
        <v>323</v>
      </c>
      <c r="C22" s="95" t="s">
        <v>324</v>
      </c>
      <c r="D22" s="105">
        <v>50.195999999999998</v>
      </c>
      <c r="E22" s="106">
        <v>70</v>
      </c>
      <c r="F22" s="19">
        <f t="shared" si="0"/>
        <v>540.30974399999991</v>
      </c>
      <c r="G22" s="52">
        <f t="shared" si="1"/>
        <v>3.9812296926315782</v>
      </c>
      <c r="H22" s="17" t="s">
        <v>299</v>
      </c>
      <c r="I22" s="107">
        <v>1</v>
      </c>
      <c r="J22" s="15" t="s">
        <v>143</v>
      </c>
    </row>
  </sheetData>
  <mergeCells count="2">
    <mergeCell ref="A1:J1"/>
    <mergeCell ref="A2:J2"/>
  </mergeCells>
  <pageMargins left="0.7" right="0.7" top="0.75" bottom="0.75" header="0.3" footer="0.3"/>
  <pageSetup paperSize="2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F3F6-3105-465F-8A3B-2AC69F3FDD77}">
  <dimension ref="A1:M64"/>
  <sheetViews>
    <sheetView zoomScale="55" zoomScaleNormal="55" workbookViewId="0">
      <selection activeCell="I6" sqref="I6"/>
    </sheetView>
  </sheetViews>
  <sheetFormatPr defaultColWidth="8.875" defaultRowHeight="15.75" x14ac:dyDescent="0.25"/>
  <cols>
    <col min="1" max="1" width="21.25" style="44" bestFit="1" customWidth="1"/>
    <col min="2" max="2" width="35.875" style="44" bestFit="1" customWidth="1"/>
    <col min="3" max="3" width="19.25" style="44" bestFit="1" customWidth="1"/>
    <col min="4" max="4" width="8.75" style="44" bestFit="1" customWidth="1"/>
    <col min="5" max="5" width="18.75" style="44" bestFit="1" customWidth="1"/>
    <col min="6" max="6" width="27" style="44" bestFit="1" customWidth="1"/>
    <col min="7" max="7" width="15.375" style="44" bestFit="1" customWidth="1"/>
    <col min="8" max="8" width="19.625" style="44" bestFit="1" customWidth="1"/>
    <col min="9" max="11" width="23.5" style="44" bestFit="1" customWidth="1"/>
    <col min="12" max="12" width="25.75" style="44" bestFit="1" customWidth="1"/>
    <col min="13" max="13" width="18.125" style="44" bestFit="1" customWidth="1"/>
    <col min="14" max="16384" width="8.875" style="44"/>
  </cols>
  <sheetData>
    <row r="1" spans="1:13" ht="25.5" x14ac:dyDescent="0.25">
      <c r="A1" s="148" t="s">
        <v>187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</row>
    <row r="2" spans="1:13" ht="25.5" x14ac:dyDescent="0.25">
      <c r="A2" s="148" t="s">
        <v>343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</row>
    <row r="3" spans="1:13" ht="25.5" x14ac:dyDescent="0.35">
      <c r="A3" s="149" t="s">
        <v>2</v>
      </c>
      <c r="B3" s="150" t="s">
        <v>3</v>
      </c>
      <c r="C3" s="150"/>
      <c r="D3" s="150" t="s">
        <v>4</v>
      </c>
      <c r="E3" s="3" t="s">
        <v>5</v>
      </c>
      <c r="F3" s="4" t="s">
        <v>6</v>
      </c>
      <c r="G3" s="3" t="s">
        <v>7</v>
      </c>
      <c r="H3" s="3" t="s">
        <v>8</v>
      </c>
      <c r="I3" s="5" t="s">
        <v>9</v>
      </c>
      <c r="J3" s="6" t="s">
        <v>9</v>
      </c>
      <c r="K3" s="7" t="s">
        <v>9</v>
      </c>
      <c r="L3" s="3" t="s">
        <v>10</v>
      </c>
      <c r="M3" s="8" t="s">
        <v>11</v>
      </c>
    </row>
    <row r="4" spans="1:13" ht="25.5" x14ac:dyDescent="0.35">
      <c r="A4" s="149"/>
      <c r="B4" s="4" t="s">
        <v>12</v>
      </c>
      <c r="C4" s="4" t="s">
        <v>102</v>
      </c>
      <c r="D4" s="150"/>
      <c r="E4" s="3" t="s">
        <v>14</v>
      </c>
      <c r="F4" s="4" t="s">
        <v>15</v>
      </c>
      <c r="G4" s="4" t="s">
        <v>16</v>
      </c>
      <c r="H4" s="4" t="s">
        <v>17</v>
      </c>
      <c r="I4" s="12" t="s">
        <v>18</v>
      </c>
      <c r="J4" s="13" t="s">
        <v>19</v>
      </c>
      <c r="K4" s="14" t="s">
        <v>20</v>
      </c>
      <c r="L4" s="4" t="s">
        <v>21</v>
      </c>
      <c r="M4" s="8" t="s">
        <v>22</v>
      </c>
    </row>
    <row r="5" spans="1:13" ht="26.25" x14ac:dyDescent="0.4">
      <c r="A5" s="144" t="s">
        <v>23</v>
      </c>
      <c r="B5" s="15" t="s">
        <v>326</v>
      </c>
      <c r="C5" s="15" t="s">
        <v>103</v>
      </c>
      <c r="D5" s="15">
        <v>4</v>
      </c>
      <c r="E5" s="15">
        <v>250</v>
      </c>
      <c r="F5" s="15">
        <f>E5*D5</f>
        <v>1000</v>
      </c>
      <c r="G5" s="15">
        <v>0.4</v>
      </c>
      <c r="H5" s="16">
        <f>F5*G5</f>
        <v>400</v>
      </c>
      <c r="I5" s="49">
        <f>(H5/(230*0.85))*1000</f>
        <v>2046.0358056265986</v>
      </c>
      <c r="J5" s="52"/>
      <c r="K5" s="54"/>
      <c r="L5" s="15">
        <v>32</v>
      </c>
      <c r="M5" s="15" t="s">
        <v>104</v>
      </c>
    </row>
    <row r="6" spans="1:13" ht="26.25" x14ac:dyDescent="0.4">
      <c r="A6" s="144"/>
      <c r="B6" s="15" t="s">
        <v>267</v>
      </c>
      <c r="C6" s="15" t="s">
        <v>103</v>
      </c>
      <c r="D6" s="15">
        <v>4</v>
      </c>
      <c r="E6" s="15">
        <v>250</v>
      </c>
      <c r="F6" s="15">
        <f t="shared" ref="F6:F35" si="0">E6*D6</f>
        <v>1000</v>
      </c>
      <c r="G6" s="15">
        <v>0.4</v>
      </c>
      <c r="H6" s="16">
        <f t="shared" ref="H6:H35" si="1">F6*G6</f>
        <v>400</v>
      </c>
      <c r="I6" s="49">
        <f t="shared" ref="I6:I31" si="2">(H6/(230*0.85))*1000</f>
        <v>2046.0358056265986</v>
      </c>
      <c r="J6" s="52"/>
      <c r="K6" s="54"/>
      <c r="L6" s="15">
        <v>32</v>
      </c>
      <c r="M6" s="15" t="s">
        <v>104</v>
      </c>
    </row>
    <row r="7" spans="1:13" ht="26.25" x14ac:dyDescent="0.4">
      <c r="A7" s="15"/>
      <c r="B7" s="15"/>
      <c r="C7" s="15"/>
      <c r="D7" s="15"/>
      <c r="E7" s="15"/>
      <c r="F7" s="15"/>
      <c r="G7" s="15"/>
      <c r="H7" s="16"/>
      <c r="I7" s="49"/>
      <c r="J7" s="52"/>
      <c r="K7" s="54"/>
      <c r="L7" s="15"/>
      <c r="M7" s="15"/>
    </row>
    <row r="8" spans="1:13" ht="26.25" x14ac:dyDescent="0.4">
      <c r="A8" s="147" t="s">
        <v>29</v>
      </c>
      <c r="B8" s="15" t="s">
        <v>273</v>
      </c>
      <c r="C8" s="15" t="s">
        <v>103</v>
      </c>
      <c r="D8" s="15">
        <v>4</v>
      </c>
      <c r="E8" s="15">
        <v>250</v>
      </c>
      <c r="F8" s="15">
        <f t="shared" si="0"/>
        <v>1000</v>
      </c>
      <c r="G8" s="15">
        <v>0.4</v>
      </c>
      <c r="H8" s="16">
        <f t="shared" si="1"/>
        <v>400</v>
      </c>
      <c r="I8" s="49"/>
      <c r="J8" s="52">
        <f t="shared" ref="J8:J33" si="3">(H8/(230*0.85))*1000</f>
        <v>2046.0358056265986</v>
      </c>
      <c r="K8" s="54"/>
      <c r="L8" s="15">
        <v>32</v>
      </c>
      <c r="M8" s="15" t="s">
        <v>104</v>
      </c>
    </row>
    <row r="9" spans="1:13" ht="26.25" x14ac:dyDescent="0.4">
      <c r="A9" s="147"/>
      <c r="B9" s="15" t="s">
        <v>274</v>
      </c>
      <c r="C9" s="15" t="s">
        <v>103</v>
      </c>
      <c r="D9" s="15">
        <v>4</v>
      </c>
      <c r="E9" s="15">
        <v>250</v>
      </c>
      <c r="F9" s="15">
        <f t="shared" si="0"/>
        <v>1000</v>
      </c>
      <c r="G9" s="15">
        <v>0.4</v>
      </c>
      <c r="H9" s="16">
        <f t="shared" si="1"/>
        <v>400</v>
      </c>
      <c r="I9" s="49"/>
      <c r="J9" s="52">
        <f t="shared" si="3"/>
        <v>2046.0358056265986</v>
      </c>
      <c r="K9" s="54"/>
      <c r="L9" s="15">
        <v>32</v>
      </c>
      <c r="M9" s="15" t="s">
        <v>104</v>
      </c>
    </row>
    <row r="10" spans="1:13" ht="26.25" x14ac:dyDescent="0.4">
      <c r="A10" s="17"/>
      <c r="B10" s="17"/>
      <c r="C10" s="17"/>
      <c r="D10" s="17"/>
      <c r="E10" s="15"/>
      <c r="F10" s="15"/>
      <c r="G10" s="15"/>
      <c r="H10" s="16"/>
      <c r="I10" s="49"/>
      <c r="J10" s="52"/>
      <c r="K10" s="54"/>
      <c r="L10" s="15"/>
      <c r="M10" s="15"/>
    </row>
    <row r="11" spans="1:13" ht="26.25" x14ac:dyDescent="0.4">
      <c r="A11" s="207" t="s">
        <v>344</v>
      </c>
      <c r="B11" s="15" t="s">
        <v>269</v>
      </c>
      <c r="C11" s="15" t="s">
        <v>103</v>
      </c>
      <c r="D11" s="15">
        <v>4</v>
      </c>
      <c r="E11" s="15">
        <v>250</v>
      </c>
      <c r="F11" s="15">
        <f t="shared" si="0"/>
        <v>1000</v>
      </c>
      <c r="G11" s="15">
        <v>0.4</v>
      </c>
      <c r="H11" s="16">
        <f t="shared" si="1"/>
        <v>400</v>
      </c>
      <c r="I11" s="49"/>
      <c r="J11" s="52"/>
      <c r="K11" s="54">
        <f t="shared" ref="K11:K35" si="4">(H11/(230*0.85))*1000</f>
        <v>2046.0358056265986</v>
      </c>
      <c r="L11" s="15">
        <v>32</v>
      </c>
      <c r="M11" s="15" t="s">
        <v>104</v>
      </c>
    </row>
    <row r="12" spans="1:13" ht="26.25" x14ac:dyDescent="0.4">
      <c r="A12" s="207"/>
      <c r="B12" s="15" t="s">
        <v>327</v>
      </c>
      <c r="C12" s="15" t="s">
        <v>103</v>
      </c>
      <c r="D12" s="15">
        <v>4</v>
      </c>
      <c r="E12" s="15">
        <v>250</v>
      </c>
      <c r="F12" s="15">
        <f t="shared" si="0"/>
        <v>1000</v>
      </c>
      <c r="G12" s="15">
        <v>0.4</v>
      </c>
      <c r="H12" s="16">
        <f t="shared" si="1"/>
        <v>400</v>
      </c>
      <c r="I12" s="49"/>
      <c r="J12" s="52"/>
      <c r="K12" s="54">
        <f t="shared" si="4"/>
        <v>2046.0358056265986</v>
      </c>
      <c r="L12" s="15">
        <v>32</v>
      </c>
      <c r="M12" s="15" t="s">
        <v>104</v>
      </c>
    </row>
    <row r="13" spans="1:13" ht="26.25" x14ac:dyDescent="0.4">
      <c r="A13" s="15"/>
      <c r="B13" s="15"/>
      <c r="C13" s="15"/>
      <c r="D13" s="15"/>
      <c r="E13" s="15"/>
      <c r="F13" s="15"/>
      <c r="G13" s="15"/>
      <c r="H13" s="16"/>
      <c r="I13" s="49"/>
      <c r="J13" s="52"/>
      <c r="K13" s="54"/>
      <c r="L13" s="15"/>
      <c r="M13" s="15"/>
    </row>
    <row r="14" spans="1:13" ht="26.25" x14ac:dyDescent="0.4">
      <c r="A14" s="144" t="s">
        <v>34</v>
      </c>
      <c r="B14" s="17" t="s">
        <v>328</v>
      </c>
      <c r="C14" s="15" t="s">
        <v>103</v>
      </c>
      <c r="D14" s="15">
        <v>4</v>
      </c>
      <c r="E14" s="15">
        <v>250</v>
      </c>
      <c r="F14" s="15">
        <f t="shared" si="0"/>
        <v>1000</v>
      </c>
      <c r="G14" s="15">
        <v>0.4</v>
      </c>
      <c r="H14" s="16">
        <f t="shared" si="1"/>
        <v>400</v>
      </c>
      <c r="I14" s="49">
        <f t="shared" si="2"/>
        <v>2046.0358056265986</v>
      </c>
      <c r="J14" s="52"/>
      <c r="K14" s="54"/>
      <c r="L14" s="15">
        <v>32</v>
      </c>
      <c r="M14" s="15" t="s">
        <v>104</v>
      </c>
    </row>
    <row r="15" spans="1:13" ht="26.25" x14ac:dyDescent="0.4">
      <c r="A15" s="144"/>
      <c r="B15" s="17" t="s">
        <v>329</v>
      </c>
      <c r="C15" s="15" t="s">
        <v>330</v>
      </c>
      <c r="D15" s="15">
        <v>4</v>
      </c>
      <c r="E15" s="15">
        <v>250</v>
      </c>
      <c r="F15" s="15">
        <f t="shared" si="0"/>
        <v>1000</v>
      </c>
      <c r="G15" s="15">
        <v>0.4</v>
      </c>
      <c r="H15" s="16">
        <f t="shared" si="1"/>
        <v>400</v>
      </c>
      <c r="I15" s="49">
        <f t="shared" si="2"/>
        <v>2046.0358056265986</v>
      </c>
      <c r="J15" s="52"/>
      <c r="K15" s="54"/>
      <c r="L15" s="15">
        <v>32</v>
      </c>
      <c r="M15" s="15" t="s">
        <v>104</v>
      </c>
    </row>
    <row r="16" spans="1:13" ht="26.25" x14ac:dyDescent="0.4">
      <c r="A16" s="17"/>
      <c r="B16" s="15"/>
      <c r="C16" s="15"/>
      <c r="D16" s="15"/>
      <c r="E16" s="15"/>
      <c r="F16" s="15"/>
      <c r="G16" s="15"/>
      <c r="H16" s="16"/>
      <c r="I16" s="49"/>
      <c r="J16" s="52"/>
      <c r="K16" s="54"/>
      <c r="L16" s="15"/>
      <c r="M16" s="15"/>
    </row>
    <row r="17" spans="1:13" ht="26.25" x14ac:dyDescent="0.4">
      <c r="A17" s="37" t="s">
        <v>36</v>
      </c>
      <c r="B17" s="15" t="s">
        <v>331</v>
      </c>
      <c r="C17" s="15" t="s">
        <v>103</v>
      </c>
      <c r="D17" s="15">
        <v>10</v>
      </c>
      <c r="E17" s="15">
        <v>250</v>
      </c>
      <c r="F17" s="15">
        <f t="shared" si="0"/>
        <v>2500</v>
      </c>
      <c r="G17" s="15">
        <v>0.4</v>
      </c>
      <c r="H17" s="16">
        <f t="shared" si="1"/>
        <v>1000</v>
      </c>
      <c r="I17" s="49"/>
      <c r="J17" s="52">
        <f t="shared" si="3"/>
        <v>5115.0895140664961</v>
      </c>
      <c r="K17" s="54"/>
      <c r="L17" s="15">
        <v>32</v>
      </c>
      <c r="M17" s="15" t="s">
        <v>104</v>
      </c>
    </row>
    <row r="18" spans="1:13" ht="26.25" x14ac:dyDescent="0.4">
      <c r="A18" s="15"/>
      <c r="B18" s="15"/>
      <c r="C18" s="15"/>
      <c r="D18" s="15"/>
      <c r="E18" s="15"/>
      <c r="F18" s="15"/>
      <c r="G18" s="15"/>
      <c r="H18" s="16"/>
      <c r="I18" s="49"/>
      <c r="J18" s="52"/>
      <c r="K18" s="54"/>
      <c r="L18" s="15"/>
      <c r="M18" s="15"/>
    </row>
    <row r="19" spans="1:13" ht="26.25" x14ac:dyDescent="0.4">
      <c r="A19" s="146" t="s">
        <v>38</v>
      </c>
      <c r="B19" s="15" t="s">
        <v>332</v>
      </c>
      <c r="C19" s="15" t="s">
        <v>333</v>
      </c>
      <c r="D19" s="15">
        <v>3</v>
      </c>
      <c r="E19" s="15">
        <v>250</v>
      </c>
      <c r="F19" s="15">
        <f t="shared" si="0"/>
        <v>750</v>
      </c>
      <c r="G19" s="15">
        <v>0.4</v>
      </c>
      <c r="H19" s="16">
        <f t="shared" si="1"/>
        <v>300</v>
      </c>
      <c r="I19" s="49"/>
      <c r="J19" s="52"/>
      <c r="K19" s="54">
        <f t="shared" si="4"/>
        <v>1534.5268542199487</v>
      </c>
      <c r="L19" s="15">
        <v>32</v>
      </c>
      <c r="M19" s="15" t="s">
        <v>104</v>
      </c>
    </row>
    <row r="20" spans="1:13" ht="26.25" x14ac:dyDescent="0.4">
      <c r="A20" s="146"/>
      <c r="B20" s="15" t="s">
        <v>277</v>
      </c>
      <c r="C20" s="15" t="s">
        <v>103</v>
      </c>
      <c r="D20" s="15">
        <v>2</v>
      </c>
      <c r="E20" s="15">
        <v>250</v>
      </c>
      <c r="F20" s="15">
        <f t="shared" si="0"/>
        <v>500</v>
      </c>
      <c r="G20" s="15">
        <v>0.4</v>
      </c>
      <c r="H20" s="16">
        <f t="shared" si="1"/>
        <v>200</v>
      </c>
      <c r="I20" s="49"/>
      <c r="J20" s="52"/>
      <c r="K20" s="54">
        <f t="shared" si="4"/>
        <v>1023.0179028132993</v>
      </c>
      <c r="L20" s="15">
        <v>32</v>
      </c>
      <c r="M20" s="15" t="s">
        <v>104</v>
      </c>
    </row>
    <row r="21" spans="1:13" ht="26.25" x14ac:dyDescent="0.4">
      <c r="A21" s="15"/>
      <c r="B21" s="15"/>
      <c r="C21" s="15"/>
      <c r="D21" s="15"/>
      <c r="E21" s="15"/>
      <c r="F21" s="15"/>
      <c r="G21" s="15"/>
      <c r="H21" s="16"/>
      <c r="I21" s="49"/>
      <c r="J21" s="52"/>
      <c r="K21" s="54"/>
      <c r="L21" s="15"/>
      <c r="M21" s="15"/>
    </row>
    <row r="22" spans="1:13" ht="26.25" x14ac:dyDescent="0.4">
      <c r="A22" s="144" t="s">
        <v>40</v>
      </c>
      <c r="B22" s="15" t="s">
        <v>334</v>
      </c>
      <c r="C22" s="15" t="s">
        <v>103</v>
      </c>
      <c r="D22" s="15">
        <v>4</v>
      </c>
      <c r="E22" s="15">
        <v>250</v>
      </c>
      <c r="F22" s="15">
        <f t="shared" si="0"/>
        <v>1000</v>
      </c>
      <c r="G22" s="15">
        <v>0.4</v>
      </c>
      <c r="H22" s="16">
        <f t="shared" si="1"/>
        <v>400</v>
      </c>
      <c r="I22" s="49">
        <f t="shared" si="2"/>
        <v>2046.0358056265986</v>
      </c>
      <c r="J22" s="52"/>
      <c r="K22" s="54"/>
      <c r="L22" s="15">
        <v>32</v>
      </c>
      <c r="M22" s="15" t="s">
        <v>104</v>
      </c>
    </row>
    <row r="23" spans="1:13" ht="26.25" x14ac:dyDescent="0.4">
      <c r="A23" s="144"/>
      <c r="B23" s="15" t="s">
        <v>334</v>
      </c>
      <c r="C23" s="15" t="s">
        <v>103</v>
      </c>
      <c r="D23" s="15">
        <v>4</v>
      </c>
      <c r="E23" s="15">
        <v>250</v>
      </c>
      <c r="F23" s="15">
        <f t="shared" si="0"/>
        <v>1000</v>
      </c>
      <c r="G23" s="15">
        <v>0.4</v>
      </c>
      <c r="H23" s="16">
        <f t="shared" si="1"/>
        <v>400</v>
      </c>
      <c r="I23" s="49">
        <f t="shared" si="2"/>
        <v>2046.0358056265986</v>
      </c>
      <c r="J23" s="52"/>
      <c r="K23" s="54"/>
      <c r="L23" s="15">
        <v>32</v>
      </c>
      <c r="M23" s="15" t="s">
        <v>104</v>
      </c>
    </row>
    <row r="24" spans="1:13" ht="26.25" x14ac:dyDescent="0.4">
      <c r="A24" s="15"/>
      <c r="B24" s="15"/>
      <c r="C24" s="15"/>
      <c r="D24" s="15"/>
      <c r="E24" s="15"/>
      <c r="F24" s="15"/>
      <c r="G24" s="15"/>
      <c r="H24" s="16"/>
      <c r="I24" s="49"/>
      <c r="J24" s="52"/>
      <c r="K24" s="54"/>
      <c r="L24" s="15"/>
      <c r="M24" s="15"/>
    </row>
    <row r="25" spans="1:13" ht="26.25" x14ac:dyDescent="0.4">
      <c r="A25" s="147" t="s">
        <v>43</v>
      </c>
      <c r="B25" s="21" t="s">
        <v>335</v>
      </c>
      <c r="C25" s="15" t="s">
        <v>333</v>
      </c>
      <c r="D25" s="15">
        <v>4</v>
      </c>
      <c r="E25" s="15">
        <v>250</v>
      </c>
      <c r="F25" s="15">
        <f t="shared" si="0"/>
        <v>1000</v>
      </c>
      <c r="G25" s="15">
        <v>0.4</v>
      </c>
      <c r="H25" s="16">
        <f t="shared" si="1"/>
        <v>400</v>
      </c>
      <c r="I25" s="49"/>
      <c r="J25" s="52">
        <f t="shared" si="3"/>
        <v>2046.0358056265986</v>
      </c>
      <c r="K25" s="54"/>
      <c r="L25" s="15">
        <v>32</v>
      </c>
      <c r="M25" s="15" t="s">
        <v>104</v>
      </c>
    </row>
    <row r="26" spans="1:13" ht="26.25" x14ac:dyDescent="0.4">
      <c r="A26" s="147"/>
      <c r="B26" s="15" t="s">
        <v>336</v>
      </c>
      <c r="C26" s="15" t="s">
        <v>337</v>
      </c>
      <c r="D26" s="15">
        <v>4</v>
      </c>
      <c r="E26" s="15">
        <v>250</v>
      </c>
      <c r="F26" s="15">
        <f t="shared" si="0"/>
        <v>1000</v>
      </c>
      <c r="G26" s="15">
        <v>0.4</v>
      </c>
      <c r="H26" s="16">
        <f t="shared" si="1"/>
        <v>400</v>
      </c>
      <c r="I26" s="49"/>
      <c r="J26" s="52">
        <f t="shared" si="3"/>
        <v>2046.0358056265986</v>
      </c>
      <c r="K26" s="54"/>
      <c r="L26" s="15">
        <v>32</v>
      </c>
      <c r="M26" s="15" t="s">
        <v>104</v>
      </c>
    </row>
    <row r="27" spans="1:13" ht="26.25" x14ac:dyDescent="0.4">
      <c r="A27" s="17"/>
      <c r="B27" s="15"/>
      <c r="C27" s="15"/>
      <c r="D27" s="15"/>
      <c r="E27" s="15"/>
      <c r="F27" s="15"/>
      <c r="G27" s="15"/>
      <c r="H27" s="16"/>
      <c r="I27" s="49"/>
      <c r="J27" s="52"/>
      <c r="K27" s="54"/>
      <c r="L27" s="15"/>
      <c r="M27" s="15"/>
    </row>
    <row r="28" spans="1:13" ht="26.25" x14ac:dyDescent="0.4">
      <c r="A28" s="146" t="s">
        <v>48</v>
      </c>
      <c r="B28" s="15" t="s">
        <v>269</v>
      </c>
      <c r="C28" s="15" t="s">
        <v>103</v>
      </c>
      <c r="D28" s="15">
        <v>2</v>
      </c>
      <c r="E28" s="15">
        <v>250</v>
      </c>
      <c r="F28" s="15">
        <f t="shared" si="0"/>
        <v>500</v>
      </c>
      <c r="G28" s="15">
        <v>0.4</v>
      </c>
      <c r="H28" s="16">
        <f t="shared" si="1"/>
        <v>200</v>
      </c>
      <c r="I28" s="49"/>
      <c r="J28" s="52"/>
      <c r="K28" s="54">
        <f t="shared" si="4"/>
        <v>1023.0179028132993</v>
      </c>
      <c r="L28" s="15">
        <v>32</v>
      </c>
      <c r="M28" s="15" t="s">
        <v>104</v>
      </c>
    </row>
    <row r="29" spans="1:13" ht="26.25" x14ac:dyDescent="0.4">
      <c r="A29" s="146"/>
      <c r="B29" s="15" t="s">
        <v>338</v>
      </c>
      <c r="C29" s="15" t="s">
        <v>103</v>
      </c>
      <c r="D29" s="15">
        <v>4</v>
      </c>
      <c r="E29" s="15">
        <v>250</v>
      </c>
      <c r="F29" s="15">
        <f t="shared" si="0"/>
        <v>1000</v>
      </c>
      <c r="G29" s="15">
        <v>0.4</v>
      </c>
      <c r="H29" s="16">
        <f t="shared" si="1"/>
        <v>400</v>
      </c>
      <c r="I29" s="49"/>
      <c r="J29" s="52"/>
      <c r="K29" s="54">
        <f t="shared" si="4"/>
        <v>2046.0358056265986</v>
      </c>
      <c r="L29" s="15">
        <v>32</v>
      </c>
      <c r="M29" s="15" t="s">
        <v>104</v>
      </c>
    </row>
    <row r="30" spans="1:13" ht="26.25" x14ac:dyDescent="0.4">
      <c r="A30" s="15"/>
      <c r="B30" s="15"/>
      <c r="C30" s="15"/>
      <c r="D30" s="15"/>
      <c r="E30" s="15"/>
      <c r="F30" s="15"/>
      <c r="G30" s="15"/>
      <c r="H30" s="16"/>
      <c r="I30" s="49"/>
      <c r="J30" s="52"/>
      <c r="K30" s="54"/>
      <c r="L30" s="15"/>
      <c r="M30" s="15"/>
    </row>
    <row r="31" spans="1:13" ht="26.25" x14ac:dyDescent="0.4">
      <c r="A31" s="38" t="s">
        <v>57</v>
      </c>
      <c r="B31" s="15" t="s">
        <v>339</v>
      </c>
      <c r="C31" s="15" t="s">
        <v>103</v>
      </c>
      <c r="D31" s="15">
        <v>3</v>
      </c>
      <c r="E31" s="15">
        <v>250</v>
      </c>
      <c r="F31" s="15">
        <f t="shared" si="0"/>
        <v>750</v>
      </c>
      <c r="G31" s="15">
        <v>0.4</v>
      </c>
      <c r="H31" s="16">
        <f t="shared" si="1"/>
        <v>300</v>
      </c>
      <c r="I31" s="49">
        <f t="shared" si="2"/>
        <v>1534.5268542199487</v>
      </c>
      <c r="J31" s="52"/>
      <c r="K31" s="54"/>
      <c r="L31" s="15">
        <v>32</v>
      </c>
      <c r="M31" s="15" t="s">
        <v>104</v>
      </c>
    </row>
    <row r="32" spans="1:13" ht="26.25" x14ac:dyDescent="0.4">
      <c r="A32" s="15"/>
      <c r="B32" s="110"/>
      <c r="C32" s="15"/>
      <c r="D32" s="15"/>
      <c r="E32" s="15"/>
      <c r="F32" s="15"/>
      <c r="G32" s="15"/>
      <c r="H32" s="16"/>
      <c r="I32" s="49"/>
      <c r="J32" s="52"/>
      <c r="K32" s="54"/>
      <c r="L32" s="15"/>
      <c r="M32" s="15"/>
    </row>
    <row r="33" spans="1:13" ht="26.25" x14ac:dyDescent="0.4">
      <c r="A33" s="37" t="s">
        <v>61</v>
      </c>
      <c r="B33" s="15" t="s">
        <v>340</v>
      </c>
      <c r="C33" s="15" t="s">
        <v>337</v>
      </c>
      <c r="D33" s="15">
        <v>4</v>
      </c>
      <c r="E33" s="15">
        <v>250</v>
      </c>
      <c r="F33" s="15">
        <f t="shared" si="0"/>
        <v>1000</v>
      </c>
      <c r="G33" s="15">
        <v>0.4</v>
      </c>
      <c r="H33" s="16">
        <f t="shared" si="1"/>
        <v>400</v>
      </c>
      <c r="I33" s="49"/>
      <c r="J33" s="52">
        <f t="shared" si="3"/>
        <v>2046.0358056265986</v>
      </c>
      <c r="K33" s="54"/>
      <c r="L33" s="15">
        <v>32</v>
      </c>
      <c r="M33" s="15" t="s">
        <v>104</v>
      </c>
    </row>
    <row r="34" spans="1:13" ht="26.25" x14ac:dyDescent="0.4">
      <c r="A34" s="15"/>
      <c r="B34" s="15"/>
      <c r="C34" s="15"/>
      <c r="D34" s="15"/>
      <c r="E34" s="15"/>
      <c r="F34" s="15"/>
      <c r="G34" s="15"/>
      <c r="H34" s="16"/>
      <c r="I34" s="49"/>
      <c r="J34" s="52"/>
      <c r="K34" s="54"/>
      <c r="L34" s="15"/>
      <c r="M34" s="15"/>
    </row>
    <row r="35" spans="1:13" ht="26.25" x14ac:dyDescent="0.4">
      <c r="A35" s="36" t="s">
        <v>63</v>
      </c>
      <c r="B35" s="15" t="s">
        <v>341</v>
      </c>
      <c r="C35" s="15" t="s">
        <v>342</v>
      </c>
      <c r="D35" s="15">
        <v>8</v>
      </c>
      <c r="E35" s="15">
        <v>250</v>
      </c>
      <c r="F35" s="15">
        <f t="shared" si="0"/>
        <v>2000</v>
      </c>
      <c r="G35" s="15">
        <v>0.4</v>
      </c>
      <c r="H35" s="16">
        <f t="shared" si="1"/>
        <v>800</v>
      </c>
      <c r="I35" s="49"/>
      <c r="J35" s="52"/>
      <c r="K35" s="54">
        <f t="shared" si="4"/>
        <v>4092.0716112531973</v>
      </c>
      <c r="L35" s="15">
        <v>32</v>
      </c>
      <c r="M35" s="15" t="s">
        <v>104</v>
      </c>
    </row>
    <row r="36" spans="1:13" ht="26.25" x14ac:dyDescent="0.4">
      <c r="A36" s="15"/>
      <c r="B36" s="15"/>
      <c r="C36" s="15"/>
      <c r="D36" s="15"/>
      <c r="E36" s="15"/>
      <c r="F36" s="15"/>
      <c r="G36" s="15"/>
      <c r="H36" s="16"/>
      <c r="I36" s="49"/>
      <c r="J36" s="52"/>
      <c r="K36" s="54"/>
      <c r="L36" s="15"/>
      <c r="M36" s="15"/>
    </row>
    <row r="37" spans="1:13" ht="26.25" x14ac:dyDescent="0.4">
      <c r="A37" s="204" t="s">
        <v>108</v>
      </c>
      <c r="B37" s="205"/>
      <c r="C37" s="206"/>
      <c r="D37" s="27">
        <f>SUM(D5:D35)</f>
        <v>84</v>
      </c>
      <c r="E37" s="109">
        <f>SUM(E5:E35)</f>
        <v>5000</v>
      </c>
      <c r="F37" s="109">
        <f>SUM(F5:F35)</f>
        <v>21000</v>
      </c>
      <c r="G37" s="111"/>
      <c r="H37" s="109">
        <f>SUM(H5:H36)</f>
        <v>8400</v>
      </c>
      <c r="I37" s="28">
        <f t="shared" ref="I37:J37" si="5">SUM(I5:I36)</f>
        <v>13810.741687979538</v>
      </c>
      <c r="J37" s="29">
        <f t="shared" si="5"/>
        <v>15345.268542199487</v>
      </c>
      <c r="K37" s="96">
        <f>SUM(K5:K36)</f>
        <v>13810.74168797954</v>
      </c>
      <c r="L37" s="17"/>
      <c r="M37" s="17"/>
    </row>
    <row r="38" spans="1:13" x14ac:dyDescent="0.25">
      <c r="B38" s="9"/>
      <c r="C38" s="9"/>
      <c r="D38" s="9"/>
      <c r="E38" s="9"/>
      <c r="F38" s="9"/>
      <c r="G38" s="9"/>
      <c r="H38" s="10"/>
      <c r="I38" s="10"/>
      <c r="L38" s="9"/>
      <c r="M38" s="9"/>
    </row>
    <row r="39" spans="1:13" ht="18.75" x14ac:dyDescent="0.3">
      <c r="A39" s="41"/>
      <c r="B39" s="9"/>
      <c r="C39" s="9"/>
      <c r="D39" s="9"/>
      <c r="E39" s="9"/>
      <c r="F39" s="9"/>
      <c r="G39" s="9"/>
      <c r="H39" s="10"/>
      <c r="I39" s="10"/>
      <c r="L39" s="9"/>
      <c r="M39" s="9"/>
    </row>
    <row r="40" spans="1:13" ht="18.75" x14ac:dyDescent="0.3">
      <c r="A40" s="41"/>
      <c r="B40" s="9"/>
      <c r="C40" s="9"/>
      <c r="D40" s="9"/>
      <c r="E40" s="9"/>
      <c r="F40" s="9"/>
      <c r="G40" s="9"/>
      <c r="H40" s="10"/>
      <c r="I40" s="10"/>
      <c r="L40" s="9"/>
      <c r="M40" s="9"/>
    </row>
    <row r="41" spans="1:13" x14ac:dyDescent="0.25">
      <c r="B41" s="9"/>
      <c r="C41" s="9"/>
      <c r="D41" s="9"/>
      <c r="E41" s="9"/>
      <c r="F41" s="9"/>
      <c r="G41" s="9"/>
      <c r="H41" s="10"/>
      <c r="I41" s="10"/>
      <c r="L41" s="9"/>
      <c r="M41" s="9"/>
    </row>
    <row r="43" spans="1:13" x14ac:dyDescent="0.25">
      <c r="B43" s="9"/>
      <c r="C43" s="42"/>
      <c r="D43" s="9"/>
      <c r="E43" s="9"/>
      <c r="F43" s="9"/>
      <c r="G43" s="9"/>
      <c r="H43" s="10"/>
      <c r="J43" s="43"/>
      <c r="L43" s="9"/>
      <c r="M43" s="9"/>
    </row>
    <row r="44" spans="1:13" x14ac:dyDescent="0.25">
      <c r="B44" s="9"/>
      <c r="C44" s="9"/>
      <c r="D44" s="9"/>
      <c r="E44" s="9"/>
      <c r="F44" s="9"/>
      <c r="G44" s="9"/>
      <c r="H44" s="10"/>
      <c r="J44" s="43"/>
      <c r="L44" s="9"/>
      <c r="M44" s="9"/>
    </row>
    <row r="45" spans="1:13" x14ac:dyDescent="0.25">
      <c r="L45" s="9"/>
      <c r="M45" s="9"/>
    </row>
    <row r="46" spans="1:13" x14ac:dyDescent="0.25">
      <c r="B46" s="9"/>
      <c r="C46" s="42"/>
      <c r="D46" s="9"/>
      <c r="E46" s="9"/>
      <c r="F46" s="9"/>
      <c r="G46" s="9"/>
      <c r="H46" s="10"/>
      <c r="K46" s="43"/>
      <c r="L46" s="9"/>
      <c r="M46" s="9"/>
    </row>
    <row r="47" spans="1:13" x14ac:dyDescent="0.25">
      <c r="A47" s="9"/>
      <c r="L47" s="9"/>
      <c r="M47" s="9"/>
    </row>
    <row r="48" spans="1:13" x14ac:dyDescent="0.25">
      <c r="B48" s="9"/>
      <c r="C48" s="42"/>
      <c r="D48" s="42"/>
      <c r="E48" s="9"/>
      <c r="F48" s="9"/>
      <c r="G48" s="9"/>
      <c r="H48" s="10"/>
      <c r="I48" s="10"/>
      <c r="L48" s="9"/>
      <c r="M48" s="9"/>
    </row>
    <row r="49" spans="1:13" x14ac:dyDescent="0.25">
      <c r="B49" s="9"/>
      <c r="C49" s="9"/>
      <c r="D49" s="9"/>
      <c r="E49" s="9"/>
      <c r="F49" s="9"/>
      <c r="G49" s="9"/>
      <c r="H49" s="10"/>
      <c r="I49" s="10"/>
      <c r="L49" s="9"/>
      <c r="M49" s="9"/>
    </row>
    <row r="50" spans="1:13" x14ac:dyDescent="0.25">
      <c r="L50" s="9"/>
      <c r="M50" s="9"/>
    </row>
    <row r="51" spans="1:13" x14ac:dyDescent="0.25">
      <c r="B51" s="9"/>
      <c r="C51" s="42"/>
      <c r="D51" s="42"/>
      <c r="E51" s="9"/>
      <c r="F51" s="9"/>
      <c r="G51" s="9"/>
      <c r="H51" s="10"/>
      <c r="J51" s="43"/>
      <c r="L51" s="9"/>
      <c r="M51" s="9"/>
    </row>
    <row r="52" spans="1:13" x14ac:dyDescent="0.25">
      <c r="A52" s="9"/>
      <c r="B52" s="9"/>
      <c r="C52" s="9"/>
      <c r="D52" s="9"/>
      <c r="E52" s="9"/>
      <c r="F52" s="9"/>
      <c r="G52" s="9"/>
      <c r="H52" s="10"/>
      <c r="J52" s="43"/>
      <c r="L52" s="9"/>
      <c r="M52" s="9"/>
    </row>
    <row r="53" spans="1:13" x14ac:dyDescent="0.25">
      <c r="F53" s="9"/>
      <c r="L53" s="9"/>
      <c r="M53" s="9"/>
    </row>
    <row r="54" spans="1:13" x14ac:dyDescent="0.25">
      <c r="B54" s="9"/>
      <c r="C54" s="9"/>
      <c r="D54" s="42"/>
      <c r="E54" s="9"/>
      <c r="F54" s="9"/>
      <c r="G54" s="9"/>
      <c r="H54" s="10"/>
      <c r="K54" s="43"/>
      <c r="L54" s="9"/>
      <c r="M54" s="9"/>
    </row>
    <row r="55" spans="1:13" x14ac:dyDescent="0.25">
      <c r="A55" s="9"/>
      <c r="B55" s="9"/>
      <c r="C55" s="9"/>
      <c r="D55" s="9"/>
      <c r="E55" s="9"/>
      <c r="F55" s="9"/>
      <c r="G55" s="9"/>
      <c r="H55" s="10"/>
      <c r="K55" s="43"/>
      <c r="L55" s="9"/>
      <c r="M55" s="9"/>
    </row>
    <row r="56" spans="1:13" x14ac:dyDescent="0.25">
      <c r="L56" s="9"/>
      <c r="M56" s="9"/>
    </row>
    <row r="57" spans="1:13" x14ac:dyDescent="0.25">
      <c r="B57" s="9"/>
      <c r="C57" s="9"/>
      <c r="D57" s="42"/>
      <c r="E57" s="9"/>
      <c r="F57" s="9"/>
      <c r="G57" s="9"/>
      <c r="H57" s="10"/>
      <c r="I57" s="10"/>
      <c r="L57" s="9"/>
      <c r="M57" s="9"/>
    </row>
    <row r="58" spans="1:13" x14ac:dyDescent="0.25">
      <c r="A58" s="9"/>
      <c r="B58" s="9"/>
      <c r="C58" s="9"/>
      <c r="D58" s="9"/>
      <c r="E58" s="9"/>
      <c r="F58" s="9"/>
      <c r="G58" s="9"/>
      <c r="H58" s="10"/>
      <c r="I58" s="10"/>
      <c r="L58" s="9"/>
      <c r="M58" s="9"/>
    </row>
    <row r="59" spans="1:13" x14ac:dyDescent="0.25">
      <c r="L59" s="9"/>
      <c r="M59" s="9"/>
    </row>
    <row r="60" spans="1:13" x14ac:dyDescent="0.25">
      <c r="L60" s="9"/>
      <c r="M60" s="9"/>
    </row>
    <row r="61" spans="1:13" x14ac:dyDescent="0.25">
      <c r="A61" s="9"/>
      <c r="B61" s="76"/>
      <c r="C61" s="76"/>
      <c r="E61" s="9"/>
      <c r="F61" s="9"/>
      <c r="H61" s="10"/>
      <c r="I61" s="80"/>
      <c r="J61" s="80"/>
      <c r="K61" s="80"/>
      <c r="L61" s="9"/>
      <c r="M61" s="9"/>
    </row>
    <row r="64" spans="1:13" x14ac:dyDescent="0.25">
      <c r="A64" s="76"/>
    </row>
  </sheetData>
  <mergeCells count="14">
    <mergeCell ref="A5:A6"/>
    <mergeCell ref="A37:C37"/>
    <mergeCell ref="A1:M1"/>
    <mergeCell ref="A2:M2"/>
    <mergeCell ref="A3:A4"/>
    <mergeCell ref="B3:C3"/>
    <mergeCell ref="D3:D4"/>
    <mergeCell ref="A28:A29"/>
    <mergeCell ref="A8:A9"/>
    <mergeCell ref="A11:A12"/>
    <mergeCell ref="A14:A15"/>
    <mergeCell ref="A19:A20"/>
    <mergeCell ref="A22:A23"/>
    <mergeCell ref="A25:A26"/>
  </mergeCells>
  <pageMargins left="0.7" right="0.7" top="0.75" bottom="0.75" header="0.3" footer="0.3"/>
  <pageSetup paperSize="14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8990-3A9E-4AAC-B598-6B65C5788711}">
  <dimension ref="A1:M66"/>
  <sheetViews>
    <sheetView zoomScale="55" zoomScaleNormal="55" workbookViewId="0">
      <selection activeCell="I29" sqref="I29"/>
    </sheetView>
  </sheetViews>
  <sheetFormatPr defaultColWidth="8.75" defaultRowHeight="15.75" x14ac:dyDescent="0.25"/>
  <cols>
    <col min="1" max="1" width="18.125" bestFit="1" customWidth="1"/>
    <col min="2" max="2" width="35.75" bestFit="1" customWidth="1"/>
    <col min="3" max="3" width="43.125" bestFit="1" customWidth="1"/>
    <col min="4" max="4" width="8.75" bestFit="1" customWidth="1"/>
    <col min="5" max="5" width="18.75" bestFit="1" customWidth="1"/>
    <col min="6" max="6" width="27" bestFit="1" customWidth="1"/>
    <col min="7" max="7" width="15.375" bestFit="1" customWidth="1"/>
    <col min="8" max="8" width="19.625" bestFit="1" customWidth="1"/>
    <col min="9" max="11" width="23.5" bestFit="1" customWidth="1"/>
    <col min="12" max="12" width="25.75" bestFit="1" customWidth="1"/>
    <col min="13" max="13" width="18.125" bestFit="1" customWidth="1"/>
  </cols>
  <sheetData>
    <row r="1" spans="1:13" ht="25.5" x14ac:dyDescent="0.25">
      <c r="A1" s="148" t="s">
        <v>187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</row>
    <row r="2" spans="1:13" ht="25.5" x14ac:dyDescent="0.25">
      <c r="A2" s="148" t="s">
        <v>343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</row>
    <row r="3" spans="1:13" ht="25.5" x14ac:dyDescent="0.35">
      <c r="A3" s="149" t="s">
        <v>2</v>
      </c>
      <c r="B3" s="150" t="s">
        <v>3</v>
      </c>
      <c r="C3" s="150"/>
      <c r="D3" s="150" t="s">
        <v>4</v>
      </c>
      <c r="E3" s="3" t="s">
        <v>5</v>
      </c>
      <c r="F3" s="4" t="s">
        <v>6</v>
      </c>
      <c r="G3" s="3" t="s">
        <v>7</v>
      </c>
      <c r="H3" s="3" t="s">
        <v>8</v>
      </c>
      <c r="I3" s="5" t="s">
        <v>9</v>
      </c>
      <c r="J3" s="6" t="s">
        <v>9</v>
      </c>
      <c r="K3" s="7" t="s">
        <v>9</v>
      </c>
      <c r="L3" s="3" t="s">
        <v>10</v>
      </c>
      <c r="M3" s="8" t="s">
        <v>11</v>
      </c>
    </row>
    <row r="4" spans="1:13" ht="25.5" x14ac:dyDescent="0.35">
      <c r="A4" s="149"/>
      <c r="B4" s="4" t="s">
        <v>12</v>
      </c>
      <c r="C4" s="4" t="s">
        <v>245</v>
      </c>
      <c r="D4" s="150"/>
      <c r="E4" s="3" t="s">
        <v>14</v>
      </c>
      <c r="F4" s="4" t="s">
        <v>15</v>
      </c>
      <c r="G4" s="4" t="s">
        <v>16</v>
      </c>
      <c r="H4" s="4" t="s">
        <v>17</v>
      </c>
      <c r="I4" s="12" t="s">
        <v>18</v>
      </c>
      <c r="J4" s="13" t="s">
        <v>19</v>
      </c>
      <c r="K4" s="14" t="s">
        <v>20</v>
      </c>
      <c r="L4" s="4" t="s">
        <v>21</v>
      </c>
      <c r="M4" s="8" t="s">
        <v>22</v>
      </c>
    </row>
    <row r="5" spans="1:13" ht="26.25" x14ac:dyDescent="0.4">
      <c r="A5" s="77" t="s">
        <v>23</v>
      </c>
      <c r="B5" s="15" t="s">
        <v>345</v>
      </c>
      <c r="C5" s="15" t="s">
        <v>139</v>
      </c>
      <c r="D5" s="15">
        <v>1</v>
      </c>
      <c r="E5" s="15">
        <v>1090</v>
      </c>
      <c r="F5" s="15">
        <f>E5*D5</f>
        <v>1090</v>
      </c>
      <c r="G5" s="15">
        <v>1</v>
      </c>
      <c r="H5" s="16">
        <f>F5*G5</f>
        <v>1090</v>
      </c>
      <c r="I5" s="49">
        <f>(H5/(230*0.85))*1000</f>
        <v>5575.4475703324806</v>
      </c>
      <c r="J5" s="50"/>
      <c r="K5" s="53"/>
      <c r="L5" s="15">
        <v>32</v>
      </c>
      <c r="M5" s="15" t="s">
        <v>136</v>
      </c>
    </row>
    <row r="6" spans="1:13" ht="26.25" x14ac:dyDescent="0.4">
      <c r="A6" s="35"/>
      <c r="B6" s="15"/>
      <c r="C6" s="15"/>
      <c r="D6" s="15"/>
      <c r="E6" s="15"/>
      <c r="F6" s="15"/>
      <c r="G6" s="15"/>
      <c r="H6" s="16"/>
      <c r="I6" s="49"/>
      <c r="J6" s="50"/>
      <c r="K6" s="53"/>
      <c r="L6" s="15"/>
      <c r="M6" s="15"/>
    </row>
    <row r="7" spans="1:13" ht="26.25" x14ac:dyDescent="0.4">
      <c r="A7" s="37" t="s">
        <v>29</v>
      </c>
      <c r="B7" s="15" t="s">
        <v>109</v>
      </c>
      <c r="C7" s="15" t="s">
        <v>139</v>
      </c>
      <c r="D7" s="15">
        <v>1</v>
      </c>
      <c r="E7" s="15">
        <v>1090</v>
      </c>
      <c r="F7" s="15">
        <v>1090</v>
      </c>
      <c r="G7" s="15">
        <v>1</v>
      </c>
      <c r="H7" s="16">
        <f t="shared" ref="H7:H37" si="0">F7*G7</f>
        <v>1090</v>
      </c>
      <c r="I7" s="49"/>
      <c r="J7" s="50">
        <f t="shared" ref="J7:J37" si="1">(H7/(230*0.85))*1000</f>
        <v>5575.4475703324806</v>
      </c>
      <c r="K7" s="53"/>
      <c r="L7" s="15">
        <v>32</v>
      </c>
      <c r="M7" s="15" t="s">
        <v>247</v>
      </c>
    </row>
    <row r="8" spans="1:13" ht="26.25" x14ac:dyDescent="0.4">
      <c r="A8" s="21"/>
      <c r="B8" s="15"/>
      <c r="C8" s="15"/>
      <c r="D8" s="15"/>
      <c r="E8" s="15"/>
      <c r="F8" s="15"/>
      <c r="G8" s="15"/>
      <c r="H8" s="16"/>
      <c r="I8" s="49"/>
      <c r="J8" s="50"/>
      <c r="K8" s="53"/>
      <c r="L8" s="15"/>
      <c r="M8" s="15"/>
    </row>
    <row r="9" spans="1:13" ht="26.25" x14ac:dyDescent="0.4">
      <c r="A9" s="36" t="s">
        <v>31</v>
      </c>
      <c r="B9" s="15" t="s">
        <v>273</v>
      </c>
      <c r="C9" s="15" t="s">
        <v>142</v>
      </c>
      <c r="D9" s="15">
        <v>1</v>
      </c>
      <c r="E9" s="15">
        <v>1730</v>
      </c>
      <c r="F9" s="15">
        <v>1730</v>
      </c>
      <c r="G9" s="15">
        <v>1</v>
      </c>
      <c r="H9" s="16">
        <f t="shared" si="0"/>
        <v>1730</v>
      </c>
      <c r="I9" s="49"/>
      <c r="J9" s="50"/>
      <c r="K9" s="53">
        <f t="shared" ref="K9:K33" si="2">(H9/(230*0.85))*1000</f>
        <v>8849.1048593350388</v>
      </c>
      <c r="L9" s="15">
        <v>32</v>
      </c>
      <c r="M9" s="15" t="s">
        <v>247</v>
      </c>
    </row>
    <row r="10" spans="1:13" ht="26.25" x14ac:dyDescent="0.4">
      <c r="A10" s="35"/>
      <c r="B10" s="15"/>
      <c r="C10" s="15"/>
      <c r="D10" s="15"/>
      <c r="E10" s="15"/>
      <c r="F10" s="15"/>
      <c r="G10" s="15"/>
      <c r="H10" s="16"/>
      <c r="I10" s="49"/>
      <c r="J10" s="50"/>
      <c r="K10" s="53"/>
      <c r="L10" s="15"/>
      <c r="M10" s="15"/>
    </row>
    <row r="11" spans="1:13" ht="26.25" x14ac:dyDescent="0.4">
      <c r="A11" s="77" t="s">
        <v>34</v>
      </c>
      <c r="B11" s="15" t="s">
        <v>346</v>
      </c>
      <c r="C11" s="15" t="s">
        <v>139</v>
      </c>
      <c r="D11" s="15">
        <v>1</v>
      </c>
      <c r="E11" s="15">
        <v>1090</v>
      </c>
      <c r="F11" s="15">
        <v>1090</v>
      </c>
      <c r="G11" s="15">
        <v>1</v>
      </c>
      <c r="H11" s="16">
        <f t="shared" si="0"/>
        <v>1090</v>
      </c>
      <c r="I11" s="49">
        <f t="shared" ref="I11:I35" si="3">(H11/(230*0.85))*1000</f>
        <v>5575.4475703324806</v>
      </c>
      <c r="J11" s="50"/>
      <c r="K11" s="53"/>
      <c r="L11" s="15">
        <v>32</v>
      </c>
      <c r="M11" s="15" t="s">
        <v>247</v>
      </c>
    </row>
    <row r="12" spans="1:13" ht="26.25" x14ac:dyDescent="0.4">
      <c r="A12" s="21"/>
      <c r="B12" s="15"/>
      <c r="C12" s="15"/>
      <c r="D12" s="15"/>
      <c r="E12" s="15"/>
      <c r="F12" s="15"/>
      <c r="G12" s="15"/>
      <c r="H12" s="16"/>
      <c r="I12" s="49"/>
      <c r="J12" s="50"/>
      <c r="K12" s="53"/>
      <c r="L12" s="15"/>
      <c r="M12" s="15"/>
    </row>
    <row r="13" spans="1:13" ht="26.25" x14ac:dyDescent="0.4">
      <c r="A13" s="78" t="s">
        <v>36</v>
      </c>
      <c r="B13" s="15" t="s">
        <v>347</v>
      </c>
      <c r="C13" s="15" t="s">
        <v>143</v>
      </c>
      <c r="D13" s="15">
        <v>1</v>
      </c>
      <c r="E13" s="15">
        <v>850</v>
      </c>
      <c r="F13" s="15">
        <v>850</v>
      </c>
      <c r="G13" s="15">
        <v>1</v>
      </c>
      <c r="H13" s="16">
        <f t="shared" si="0"/>
        <v>850</v>
      </c>
      <c r="I13" s="49"/>
      <c r="J13" s="50">
        <f t="shared" si="1"/>
        <v>4347.8260869565211</v>
      </c>
      <c r="K13" s="53"/>
      <c r="L13" s="15">
        <v>32</v>
      </c>
      <c r="M13" s="15" t="s">
        <v>247</v>
      </c>
    </row>
    <row r="14" spans="1:13" ht="26.25" x14ac:dyDescent="0.4">
      <c r="A14" s="35"/>
      <c r="B14" s="15"/>
      <c r="C14" s="15"/>
      <c r="D14" s="15"/>
      <c r="E14" s="15"/>
      <c r="F14" s="15"/>
      <c r="G14" s="15"/>
      <c r="H14" s="16"/>
      <c r="I14" s="49"/>
      <c r="J14" s="50"/>
      <c r="K14" s="53"/>
      <c r="L14" s="15"/>
      <c r="M14" s="15"/>
    </row>
    <row r="15" spans="1:13" ht="26.25" x14ac:dyDescent="0.4">
      <c r="A15" s="36" t="s">
        <v>38</v>
      </c>
      <c r="B15" s="15" t="s">
        <v>274</v>
      </c>
      <c r="C15" s="15" t="s">
        <v>142</v>
      </c>
      <c r="D15" s="15">
        <v>1</v>
      </c>
      <c r="E15" s="15">
        <v>1780</v>
      </c>
      <c r="F15" s="15">
        <v>1780</v>
      </c>
      <c r="G15" s="15">
        <v>1</v>
      </c>
      <c r="H15" s="16">
        <f t="shared" si="0"/>
        <v>1780</v>
      </c>
      <c r="I15" s="49"/>
      <c r="J15" s="50"/>
      <c r="K15" s="53">
        <f t="shared" si="2"/>
        <v>9104.8593350383635</v>
      </c>
      <c r="L15" s="15">
        <v>32</v>
      </c>
      <c r="M15" s="15" t="s">
        <v>247</v>
      </c>
    </row>
    <row r="16" spans="1:13" ht="26.25" x14ac:dyDescent="0.4">
      <c r="A16" s="35"/>
      <c r="B16" s="15"/>
      <c r="C16" s="15"/>
      <c r="D16" s="15"/>
      <c r="E16" s="15"/>
      <c r="F16" s="15"/>
      <c r="G16" s="15"/>
      <c r="H16" s="16"/>
      <c r="I16" s="49"/>
      <c r="J16" s="50"/>
      <c r="K16" s="53"/>
      <c r="L16" s="15"/>
      <c r="M16" s="15"/>
    </row>
    <row r="17" spans="1:13" ht="26.25" x14ac:dyDescent="0.4">
      <c r="A17" s="77" t="s">
        <v>40</v>
      </c>
      <c r="B17" s="15" t="s">
        <v>348</v>
      </c>
      <c r="C17" s="15" t="s">
        <v>139</v>
      </c>
      <c r="D17" s="15">
        <v>1</v>
      </c>
      <c r="E17" s="15">
        <v>1090</v>
      </c>
      <c r="F17" s="15">
        <v>1090</v>
      </c>
      <c r="G17" s="15">
        <v>1</v>
      </c>
      <c r="H17" s="16">
        <f t="shared" si="0"/>
        <v>1090</v>
      </c>
      <c r="I17" s="49">
        <f t="shared" si="3"/>
        <v>5575.4475703324806</v>
      </c>
      <c r="J17" s="50"/>
      <c r="K17" s="53"/>
      <c r="L17" s="15">
        <v>32</v>
      </c>
      <c r="M17" s="15" t="s">
        <v>247</v>
      </c>
    </row>
    <row r="18" spans="1:13" ht="26.25" x14ac:dyDescent="0.4">
      <c r="A18" s="35"/>
      <c r="B18" s="15"/>
      <c r="C18" s="15"/>
      <c r="D18" s="15"/>
      <c r="E18" s="15"/>
      <c r="F18" s="15"/>
      <c r="G18" s="15"/>
      <c r="H18" s="16"/>
      <c r="I18" s="49"/>
      <c r="J18" s="50"/>
      <c r="K18" s="53"/>
      <c r="L18" s="15"/>
      <c r="M18" s="15"/>
    </row>
    <row r="19" spans="1:13" ht="26.25" x14ac:dyDescent="0.4">
      <c r="A19" s="37" t="s">
        <v>43</v>
      </c>
      <c r="B19" s="21" t="s">
        <v>349</v>
      </c>
      <c r="C19" s="15" t="s">
        <v>139</v>
      </c>
      <c r="D19" s="15">
        <v>1</v>
      </c>
      <c r="E19" s="15">
        <v>1090</v>
      </c>
      <c r="F19" s="15">
        <v>1090</v>
      </c>
      <c r="G19" s="15">
        <v>1</v>
      </c>
      <c r="H19" s="16">
        <f t="shared" si="0"/>
        <v>1090</v>
      </c>
      <c r="I19" s="49"/>
      <c r="J19" s="50">
        <f t="shared" si="1"/>
        <v>5575.4475703324806</v>
      </c>
      <c r="K19" s="53"/>
      <c r="L19" s="15">
        <v>32</v>
      </c>
      <c r="M19" s="15" t="s">
        <v>247</v>
      </c>
    </row>
    <row r="20" spans="1:13" ht="26.25" x14ac:dyDescent="0.4">
      <c r="A20" s="21"/>
      <c r="B20" s="15"/>
      <c r="C20" s="15"/>
      <c r="D20" s="15"/>
      <c r="E20" s="15"/>
      <c r="F20" s="15"/>
      <c r="G20" s="15"/>
      <c r="H20" s="16"/>
      <c r="I20" s="49"/>
      <c r="J20" s="50"/>
      <c r="K20" s="53"/>
      <c r="L20" s="15"/>
      <c r="M20" s="15"/>
    </row>
    <row r="21" spans="1:13" ht="26.25" x14ac:dyDescent="0.4">
      <c r="A21" s="36" t="s">
        <v>48</v>
      </c>
      <c r="B21" s="15" t="s">
        <v>350</v>
      </c>
      <c r="C21" s="15" t="s">
        <v>143</v>
      </c>
      <c r="D21" s="15">
        <v>1</v>
      </c>
      <c r="E21" s="15">
        <v>850</v>
      </c>
      <c r="F21" s="15">
        <v>850</v>
      </c>
      <c r="G21" s="15">
        <v>1</v>
      </c>
      <c r="H21" s="16">
        <f t="shared" si="0"/>
        <v>850</v>
      </c>
      <c r="I21" s="49"/>
      <c r="J21" s="50"/>
      <c r="K21" s="53">
        <f t="shared" si="2"/>
        <v>4347.8260869565211</v>
      </c>
      <c r="L21" s="15">
        <v>32</v>
      </c>
      <c r="M21" s="15" t="s">
        <v>247</v>
      </c>
    </row>
    <row r="22" spans="1:13" ht="26.25" x14ac:dyDescent="0.4">
      <c r="A22" s="35"/>
      <c r="B22" s="15"/>
      <c r="C22" s="15"/>
      <c r="D22" s="15"/>
      <c r="E22" s="15"/>
      <c r="F22" s="15"/>
      <c r="G22" s="15"/>
      <c r="H22" s="16"/>
      <c r="I22" s="49"/>
      <c r="J22" s="50"/>
      <c r="K22" s="53"/>
      <c r="L22" s="15"/>
      <c r="M22" s="15"/>
    </row>
    <row r="23" spans="1:13" ht="26.25" x14ac:dyDescent="0.4">
      <c r="A23" s="77" t="s">
        <v>57</v>
      </c>
      <c r="B23" s="15" t="s">
        <v>351</v>
      </c>
      <c r="C23" s="15" t="s">
        <v>139</v>
      </c>
      <c r="D23" s="15">
        <v>1</v>
      </c>
      <c r="E23" s="15">
        <v>1090</v>
      </c>
      <c r="F23" s="15">
        <v>1090</v>
      </c>
      <c r="G23" s="15">
        <v>1</v>
      </c>
      <c r="H23" s="16">
        <f t="shared" si="0"/>
        <v>1090</v>
      </c>
      <c r="I23" s="49">
        <f t="shared" si="3"/>
        <v>5575.4475703324806</v>
      </c>
      <c r="J23" s="50"/>
      <c r="K23" s="53"/>
      <c r="L23" s="15">
        <v>32</v>
      </c>
      <c r="M23" s="15" t="s">
        <v>247</v>
      </c>
    </row>
    <row r="24" spans="1:13" ht="26.25" x14ac:dyDescent="0.4">
      <c r="A24" s="35"/>
      <c r="B24" s="15"/>
      <c r="C24" s="15"/>
      <c r="D24" s="15"/>
      <c r="E24" s="15"/>
      <c r="F24" s="15"/>
      <c r="G24" s="15"/>
      <c r="H24" s="16"/>
      <c r="I24" s="49"/>
      <c r="J24" s="50"/>
      <c r="K24" s="53"/>
      <c r="L24" s="15"/>
      <c r="M24" s="15"/>
    </row>
    <row r="25" spans="1:13" ht="26.25" x14ac:dyDescent="0.4">
      <c r="A25" s="37" t="s">
        <v>61</v>
      </c>
      <c r="B25" s="15" t="s">
        <v>282</v>
      </c>
      <c r="C25" s="15" t="s">
        <v>139</v>
      </c>
      <c r="D25" s="15">
        <v>1</v>
      </c>
      <c r="E25" s="15">
        <v>1090</v>
      </c>
      <c r="F25" s="15">
        <v>1090</v>
      </c>
      <c r="G25" s="15">
        <v>1</v>
      </c>
      <c r="H25" s="16">
        <f t="shared" si="0"/>
        <v>1090</v>
      </c>
      <c r="I25" s="49"/>
      <c r="J25" s="50">
        <f t="shared" si="1"/>
        <v>5575.4475703324806</v>
      </c>
      <c r="K25" s="53"/>
      <c r="L25" s="15">
        <v>32</v>
      </c>
      <c r="M25" s="15" t="s">
        <v>247</v>
      </c>
    </row>
    <row r="26" spans="1:13" ht="26.25" x14ac:dyDescent="0.4">
      <c r="A26" s="35"/>
      <c r="B26" s="15"/>
      <c r="C26" s="15"/>
      <c r="D26" s="15"/>
      <c r="E26" s="15"/>
      <c r="F26" s="15"/>
      <c r="G26" s="15"/>
      <c r="H26" s="16"/>
      <c r="I26" s="49"/>
      <c r="J26" s="50"/>
      <c r="K26" s="53"/>
      <c r="L26" s="15"/>
      <c r="M26" s="15"/>
    </row>
    <row r="27" spans="1:13" ht="26.25" x14ac:dyDescent="0.4">
      <c r="A27" s="36" t="s">
        <v>63</v>
      </c>
      <c r="B27" s="15" t="s">
        <v>352</v>
      </c>
      <c r="C27" s="15" t="s">
        <v>139</v>
      </c>
      <c r="D27" s="15">
        <v>1</v>
      </c>
      <c r="E27" s="15">
        <v>1090</v>
      </c>
      <c r="F27" s="15">
        <v>1090</v>
      </c>
      <c r="G27" s="15">
        <v>1</v>
      </c>
      <c r="H27" s="16">
        <f t="shared" si="0"/>
        <v>1090</v>
      </c>
      <c r="I27" s="49"/>
      <c r="J27" s="50"/>
      <c r="K27" s="53">
        <f t="shared" si="2"/>
        <v>5575.4475703324806</v>
      </c>
      <c r="L27" s="15">
        <v>32</v>
      </c>
      <c r="M27" s="15" t="s">
        <v>247</v>
      </c>
    </row>
    <row r="28" spans="1:13" ht="26.25" x14ac:dyDescent="0.4">
      <c r="A28" s="35"/>
      <c r="B28" s="15"/>
      <c r="C28" s="15"/>
      <c r="D28" s="15"/>
      <c r="E28" s="15"/>
      <c r="F28" s="15"/>
      <c r="G28" s="15"/>
      <c r="H28" s="16"/>
      <c r="I28" s="49"/>
      <c r="J28" s="50"/>
      <c r="K28" s="53"/>
      <c r="L28" s="15"/>
      <c r="M28" s="15"/>
    </row>
    <row r="29" spans="1:13" ht="26.25" x14ac:dyDescent="0.4">
      <c r="A29" s="38" t="s">
        <v>64</v>
      </c>
      <c r="B29" s="15" t="s">
        <v>286</v>
      </c>
      <c r="C29" s="15" t="s">
        <v>139</v>
      </c>
      <c r="D29" s="15">
        <v>1</v>
      </c>
      <c r="E29" s="15">
        <v>1090</v>
      </c>
      <c r="F29" s="15">
        <v>1090</v>
      </c>
      <c r="G29" s="15">
        <v>1</v>
      </c>
      <c r="H29" s="16">
        <f t="shared" si="0"/>
        <v>1090</v>
      </c>
      <c r="I29" s="49">
        <f t="shared" si="3"/>
        <v>5575.4475703324806</v>
      </c>
      <c r="J29" s="50"/>
      <c r="K29" s="53"/>
      <c r="L29" s="15">
        <v>32</v>
      </c>
      <c r="M29" s="15" t="s">
        <v>247</v>
      </c>
    </row>
    <row r="30" spans="1:13" ht="26.25" x14ac:dyDescent="0.4">
      <c r="A30" s="21"/>
      <c r="B30" s="15"/>
      <c r="C30" s="15"/>
      <c r="D30" s="15"/>
      <c r="E30" s="15"/>
      <c r="F30" s="15"/>
      <c r="G30" s="15"/>
      <c r="H30" s="16"/>
      <c r="I30" s="49"/>
      <c r="J30" s="50"/>
      <c r="K30" s="53"/>
      <c r="L30" s="15"/>
      <c r="M30" s="15"/>
    </row>
    <row r="31" spans="1:13" ht="26.25" x14ac:dyDescent="0.4">
      <c r="A31" s="37" t="s">
        <v>65</v>
      </c>
      <c r="B31" s="15" t="s">
        <v>257</v>
      </c>
      <c r="C31" s="15" t="s">
        <v>139</v>
      </c>
      <c r="D31" s="15">
        <v>1</v>
      </c>
      <c r="E31" s="15">
        <v>1090</v>
      </c>
      <c r="F31" s="15">
        <v>1090</v>
      </c>
      <c r="G31" s="15">
        <v>1</v>
      </c>
      <c r="H31" s="16">
        <f t="shared" si="0"/>
        <v>1090</v>
      </c>
      <c r="I31" s="49"/>
      <c r="J31" s="50">
        <f t="shared" si="1"/>
        <v>5575.4475703324806</v>
      </c>
      <c r="K31" s="53"/>
      <c r="L31" s="15">
        <v>32</v>
      </c>
      <c r="M31" s="15" t="s">
        <v>247</v>
      </c>
    </row>
    <row r="32" spans="1:13" ht="26.25" x14ac:dyDescent="0.4">
      <c r="A32" s="35"/>
      <c r="B32" s="15"/>
      <c r="C32" s="15"/>
      <c r="D32" s="15"/>
      <c r="E32" s="15"/>
      <c r="F32" s="15"/>
      <c r="G32" s="15"/>
      <c r="H32" s="16"/>
      <c r="I32" s="49"/>
      <c r="J32" s="50"/>
      <c r="K32" s="53"/>
      <c r="L32" s="15"/>
      <c r="M32" s="15"/>
    </row>
    <row r="33" spans="1:13" ht="26.25" x14ac:dyDescent="0.4">
      <c r="A33" s="36" t="s">
        <v>66</v>
      </c>
      <c r="B33" s="15" t="s">
        <v>259</v>
      </c>
      <c r="C33" s="15" t="s">
        <v>139</v>
      </c>
      <c r="D33" s="15">
        <v>1</v>
      </c>
      <c r="E33" s="15">
        <v>1090</v>
      </c>
      <c r="F33" s="15">
        <v>1090</v>
      </c>
      <c r="G33" s="15">
        <v>1</v>
      </c>
      <c r="H33" s="16">
        <f t="shared" si="0"/>
        <v>1090</v>
      </c>
      <c r="I33" s="49"/>
      <c r="J33" s="50"/>
      <c r="K33" s="53">
        <f t="shared" si="2"/>
        <v>5575.4475703324806</v>
      </c>
      <c r="L33" s="15">
        <v>32</v>
      </c>
      <c r="M33" s="15" t="s">
        <v>247</v>
      </c>
    </row>
    <row r="34" spans="1:13" ht="26.25" x14ac:dyDescent="0.4">
      <c r="A34" s="35"/>
      <c r="B34" s="15"/>
      <c r="C34" s="15"/>
      <c r="D34" s="15"/>
      <c r="E34" s="15"/>
      <c r="F34" s="15"/>
      <c r="G34" s="15"/>
      <c r="H34" s="16"/>
      <c r="I34" s="49"/>
      <c r="J34" s="50"/>
      <c r="K34" s="53"/>
      <c r="L34" s="15"/>
      <c r="M34" s="15"/>
    </row>
    <row r="35" spans="1:13" ht="26.25" x14ac:dyDescent="0.4">
      <c r="A35" s="38" t="s">
        <v>68</v>
      </c>
      <c r="B35" s="15" t="s">
        <v>353</v>
      </c>
      <c r="C35" s="15" t="s">
        <v>139</v>
      </c>
      <c r="D35" s="15">
        <v>1</v>
      </c>
      <c r="E35" s="15">
        <v>1090</v>
      </c>
      <c r="F35" s="15">
        <v>1090</v>
      </c>
      <c r="G35" s="15">
        <v>1</v>
      </c>
      <c r="H35" s="16">
        <f t="shared" si="0"/>
        <v>1090</v>
      </c>
      <c r="I35" s="49">
        <f t="shared" si="3"/>
        <v>5575.4475703324806</v>
      </c>
      <c r="J35" s="50"/>
      <c r="K35" s="53"/>
      <c r="L35" s="15">
        <v>32</v>
      </c>
      <c r="M35" s="15" t="s">
        <v>247</v>
      </c>
    </row>
    <row r="36" spans="1:13" ht="26.25" x14ac:dyDescent="0.4">
      <c r="A36" s="15"/>
      <c r="B36" s="15"/>
      <c r="C36" s="15"/>
      <c r="D36" s="15"/>
      <c r="E36" s="15"/>
      <c r="F36" s="15"/>
      <c r="G36" s="15"/>
      <c r="H36" s="16"/>
      <c r="I36" s="49"/>
      <c r="J36" s="50"/>
      <c r="K36" s="53"/>
      <c r="L36" s="15"/>
      <c r="M36" s="15"/>
    </row>
    <row r="37" spans="1:13" ht="26.25" x14ac:dyDescent="0.4">
      <c r="A37" s="37" t="s">
        <v>69</v>
      </c>
      <c r="B37" s="15" t="s">
        <v>354</v>
      </c>
      <c r="C37" s="15" t="s">
        <v>139</v>
      </c>
      <c r="D37" s="15">
        <v>1</v>
      </c>
      <c r="E37" s="15">
        <v>1090</v>
      </c>
      <c r="F37" s="15">
        <v>1090</v>
      </c>
      <c r="G37" s="15">
        <v>1</v>
      </c>
      <c r="H37" s="16">
        <f t="shared" si="0"/>
        <v>1090</v>
      </c>
      <c r="I37" s="49"/>
      <c r="J37" s="50">
        <f t="shared" si="1"/>
        <v>5575.4475703324806</v>
      </c>
      <c r="K37" s="53"/>
      <c r="L37" s="15">
        <v>32</v>
      </c>
      <c r="M37" s="15" t="s">
        <v>247</v>
      </c>
    </row>
    <row r="38" spans="1:13" ht="26.25" x14ac:dyDescent="0.4">
      <c r="A38" s="21"/>
      <c r="B38" s="15"/>
      <c r="C38" s="15"/>
      <c r="D38" s="15"/>
      <c r="E38" s="15"/>
      <c r="F38" s="15"/>
      <c r="G38" s="15"/>
      <c r="H38" s="16"/>
      <c r="I38" s="49"/>
      <c r="J38" s="50"/>
      <c r="K38" s="53"/>
      <c r="L38" s="15"/>
      <c r="M38" s="15"/>
    </row>
    <row r="39" spans="1:13" ht="26.25" x14ac:dyDescent="0.4">
      <c r="A39" s="79" t="s">
        <v>108</v>
      </c>
      <c r="B39" s="79"/>
      <c r="C39" s="79"/>
      <c r="D39" s="15">
        <f>SUM(D5:D38)</f>
        <v>17</v>
      </c>
      <c r="E39" s="15">
        <f>SUM(E5:E38)</f>
        <v>19380</v>
      </c>
      <c r="F39" s="15">
        <f t="shared" ref="F39:H39" si="4">SUM(F5:F38)</f>
        <v>19380</v>
      </c>
      <c r="G39" s="15"/>
      <c r="H39" s="15">
        <f t="shared" si="4"/>
        <v>19380</v>
      </c>
      <c r="I39" s="48">
        <f>SUM(I5:I38)</f>
        <v>33452.68542199488</v>
      </c>
      <c r="J39" s="47">
        <f>SUM(J5:J38)</f>
        <v>32225.063938618921</v>
      </c>
      <c r="K39" s="46">
        <f>SUM(K5:K38)</f>
        <v>33452.68542199488</v>
      </c>
      <c r="L39" s="21"/>
      <c r="M39" s="21"/>
    </row>
    <row r="40" spans="1:13" ht="18.75" x14ac:dyDescent="0.3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 spans="1:13" ht="18.75" x14ac:dyDescent="0.3">
      <c r="A41" s="39"/>
      <c r="B41" s="39"/>
      <c r="C41" s="39"/>
      <c r="D41" s="39"/>
      <c r="E41" s="39"/>
      <c r="F41" s="39"/>
      <c r="G41" s="39"/>
      <c r="H41" s="39"/>
      <c r="I41" s="40"/>
      <c r="J41" s="40"/>
      <c r="K41" s="41"/>
      <c r="L41" s="39"/>
      <c r="M41" s="39"/>
    </row>
    <row r="42" spans="1:13" ht="18.75" x14ac:dyDescent="0.3">
      <c r="A42" s="39"/>
      <c r="B42" s="9"/>
      <c r="C42" s="9"/>
      <c r="D42" s="9"/>
      <c r="E42" s="9"/>
      <c r="F42" s="9"/>
      <c r="G42" s="9"/>
      <c r="H42" s="10"/>
      <c r="I42" s="10"/>
      <c r="L42" s="9"/>
      <c r="M42" s="9"/>
    </row>
    <row r="43" spans="1:13" x14ac:dyDescent="0.25">
      <c r="B43" s="9"/>
      <c r="C43" s="9"/>
      <c r="D43" s="9"/>
      <c r="E43" s="9"/>
      <c r="F43" s="9"/>
      <c r="G43" s="9"/>
      <c r="H43" s="10"/>
      <c r="I43" s="10"/>
      <c r="L43" s="9"/>
      <c r="M43" s="9"/>
    </row>
    <row r="44" spans="1:13" x14ac:dyDescent="0.25">
      <c r="B44" s="9"/>
      <c r="C44" s="9"/>
      <c r="D44" s="9"/>
      <c r="E44" s="9"/>
      <c r="F44" s="9"/>
      <c r="G44" s="9"/>
      <c r="H44" s="10"/>
      <c r="I44" s="10"/>
      <c r="L44" s="9"/>
      <c r="M44" s="9"/>
    </row>
    <row r="45" spans="1:13" x14ac:dyDescent="0.25">
      <c r="B45" s="9"/>
      <c r="C45" s="9"/>
      <c r="D45" s="9"/>
      <c r="E45" s="9"/>
      <c r="F45" s="9"/>
      <c r="G45" s="9"/>
      <c r="H45" s="10"/>
      <c r="I45" s="10"/>
      <c r="L45" s="9"/>
      <c r="M45" s="9"/>
    </row>
    <row r="47" spans="1:13" x14ac:dyDescent="0.25">
      <c r="B47" s="9"/>
      <c r="C47" s="42"/>
      <c r="D47" s="9"/>
      <c r="E47" s="9"/>
      <c r="F47" s="9"/>
      <c r="G47" s="9"/>
      <c r="H47" s="10"/>
      <c r="J47" s="43"/>
      <c r="L47" s="9"/>
      <c r="M47" s="9"/>
    </row>
    <row r="48" spans="1:13" x14ac:dyDescent="0.25">
      <c r="B48" s="9"/>
      <c r="C48" s="9"/>
      <c r="D48" s="9"/>
      <c r="E48" s="9"/>
      <c r="F48" s="9"/>
      <c r="G48" s="9"/>
      <c r="H48" s="10"/>
      <c r="J48" s="43"/>
      <c r="L48" s="9"/>
      <c r="M48" s="9"/>
    </row>
    <row r="49" spans="1:13" x14ac:dyDescent="0.25">
      <c r="A49" s="9"/>
      <c r="L49" s="9"/>
      <c r="M49" s="9"/>
    </row>
    <row r="50" spans="1:13" x14ac:dyDescent="0.25">
      <c r="B50" s="9"/>
      <c r="C50" s="42"/>
      <c r="D50" s="9"/>
      <c r="E50" s="9"/>
      <c r="F50" s="9"/>
      <c r="G50" s="9"/>
      <c r="H50" s="10"/>
      <c r="K50" s="43"/>
      <c r="L50" s="9"/>
      <c r="M50" s="9"/>
    </row>
    <row r="51" spans="1:13" x14ac:dyDescent="0.25">
      <c r="L51" s="9"/>
      <c r="M51" s="9"/>
    </row>
    <row r="52" spans="1:13" x14ac:dyDescent="0.25">
      <c r="B52" s="9"/>
      <c r="C52" s="42"/>
      <c r="D52" s="42"/>
      <c r="E52" s="9"/>
      <c r="F52" s="9"/>
      <c r="G52" s="9"/>
      <c r="H52" s="10"/>
      <c r="I52" s="10"/>
      <c r="L52" s="9"/>
      <c r="M52" s="9"/>
    </row>
    <row r="53" spans="1:13" x14ac:dyDescent="0.25">
      <c r="B53" s="9"/>
      <c r="C53" s="9"/>
      <c r="D53" s="9"/>
      <c r="E53" s="9"/>
      <c r="F53" s="9"/>
      <c r="G53" s="9"/>
      <c r="H53" s="10"/>
      <c r="I53" s="10"/>
      <c r="L53" s="9"/>
      <c r="M53" s="9"/>
    </row>
    <row r="54" spans="1:13" x14ac:dyDescent="0.25">
      <c r="A54" s="9"/>
      <c r="L54" s="9"/>
      <c r="M54" s="9"/>
    </row>
    <row r="55" spans="1:13" x14ac:dyDescent="0.25">
      <c r="B55" s="9"/>
      <c r="C55" s="42"/>
      <c r="D55" s="42"/>
      <c r="E55" s="9"/>
      <c r="F55" s="9"/>
      <c r="G55" s="9"/>
      <c r="H55" s="10"/>
      <c r="J55" s="43"/>
      <c r="L55" s="9"/>
      <c r="M55" s="9"/>
    </row>
    <row r="56" spans="1:13" x14ac:dyDescent="0.25">
      <c r="B56" s="9"/>
      <c r="C56" s="9"/>
      <c r="D56" s="9"/>
      <c r="E56" s="9"/>
      <c r="F56" s="9"/>
      <c r="G56" s="9"/>
      <c r="H56" s="10"/>
      <c r="J56" s="43"/>
      <c r="L56" s="9"/>
      <c r="M56" s="9"/>
    </row>
    <row r="57" spans="1:13" x14ac:dyDescent="0.25">
      <c r="A57" s="9"/>
      <c r="F57" s="9"/>
      <c r="L57" s="9"/>
      <c r="M57" s="9"/>
    </row>
    <row r="58" spans="1:13" x14ac:dyDescent="0.25">
      <c r="B58" s="9"/>
      <c r="C58" s="9"/>
      <c r="D58" s="42"/>
      <c r="E58" s="9"/>
      <c r="F58" s="9"/>
      <c r="G58" s="9"/>
      <c r="H58" s="10"/>
      <c r="K58" s="43"/>
      <c r="L58" s="9"/>
      <c r="M58" s="9"/>
    </row>
    <row r="59" spans="1:13" x14ac:dyDescent="0.25">
      <c r="B59" s="9"/>
      <c r="C59" s="9"/>
      <c r="D59" s="9"/>
      <c r="E59" s="9"/>
      <c r="F59" s="9"/>
      <c r="G59" s="9"/>
      <c r="H59" s="10"/>
      <c r="K59" s="43"/>
      <c r="L59" s="9"/>
      <c r="M59" s="9"/>
    </row>
    <row r="60" spans="1:13" x14ac:dyDescent="0.25">
      <c r="A60" s="9"/>
      <c r="L60" s="9"/>
      <c r="M60" s="9"/>
    </row>
    <row r="61" spans="1:13" x14ac:dyDescent="0.25">
      <c r="B61" s="9"/>
      <c r="C61" s="9"/>
      <c r="D61" s="42"/>
      <c r="E61" s="9"/>
      <c r="F61" s="9"/>
      <c r="G61" s="9"/>
      <c r="H61" s="10"/>
      <c r="I61" s="10"/>
      <c r="L61" s="9"/>
      <c r="M61" s="9"/>
    </row>
    <row r="62" spans="1:13" x14ac:dyDescent="0.25">
      <c r="B62" s="9"/>
      <c r="C62" s="9"/>
      <c r="D62" s="9"/>
      <c r="E62" s="9"/>
      <c r="F62" s="9"/>
      <c r="G62" s="9"/>
      <c r="H62" s="10"/>
      <c r="I62" s="10"/>
      <c r="L62" s="9"/>
      <c r="M62" s="9"/>
    </row>
    <row r="63" spans="1:13" x14ac:dyDescent="0.25">
      <c r="A63" s="9"/>
      <c r="L63" s="9"/>
      <c r="M63" s="9"/>
    </row>
    <row r="64" spans="1:13" x14ac:dyDescent="0.25">
      <c r="L64" s="9"/>
      <c r="M64" s="9"/>
    </row>
    <row r="65" spans="1:13" x14ac:dyDescent="0.25">
      <c r="B65" s="76"/>
      <c r="C65" s="76"/>
      <c r="E65" s="9"/>
      <c r="F65" s="9"/>
      <c r="G65" s="44"/>
      <c r="H65" s="10"/>
      <c r="I65" s="45"/>
      <c r="J65" s="45"/>
      <c r="K65" s="45"/>
      <c r="L65" s="9"/>
      <c r="M65" s="9"/>
    </row>
    <row r="66" spans="1:13" x14ac:dyDescent="0.25">
      <c r="A66" s="76"/>
    </row>
  </sheetData>
  <mergeCells count="5">
    <mergeCell ref="A1:M1"/>
    <mergeCell ref="A2:M2"/>
    <mergeCell ref="A3:A4"/>
    <mergeCell ref="B3:C3"/>
    <mergeCell ref="D3:D4"/>
  </mergeCells>
  <pageMargins left="0.7" right="0.7" top="0.75" bottom="0.75" header="0.3" footer="0.3"/>
  <pageSetup paperSize="14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31D4-3791-4C56-80DB-B11E14F4039C}">
  <dimension ref="A1:AA63"/>
  <sheetViews>
    <sheetView zoomScale="55" zoomScaleNormal="55" workbookViewId="0">
      <selection activeCell="I5" sqref="I5"/>
    </sheetView>
  </sheetViews>
  <sheetFormatPr defaultColWidth="8.875" defaultRowHeight="26.25" x14ac:dyDescent="0.4"/>
  <cols>
    <col min="1" max="1" width="18.125" style="85" bestFit="1" customWidth="1"/>
    <col min="2" max="2" width="46.5" style="85" customWidth="1"/>
    <col min="3" max="3" width="50.75" style="71" bestFit="1" customWidth="1"/>
    <col min="4" max="4" width="8.75" style="71" bestFit="1" customWidth="1"/>
    <col min="5" max="5" width="18.75" style="71" bestFit="1" customWidth="1"/>
    <col min="6" max="6" width="27" style="85" bestFit="1" customWidth="1"/>
    <col min="7" max="7" width="15.375" style="85" bestFit="1" customWidth="1"/>
    <col min="8" max="8" width="19.625" style="85" bestFit="1" customWidth="1"/>
    <col min="9" max="11" width="23.5" style="85" bestFit="1" customWidth="1"/>
    <col min="12" max="12" width="25.75" style="85" bestFit="1" customWidth="1"/>
    <col min="13" max="13" width="18.125" style="85" bestFit="1" customWidth="1"/>
    <col min="14" max="16384" width="8.875" style="85"/>
  </cols>
  <sheetData>
    <row r="1" spans="1:27" ht="25.5" x14ac:dyDescent="0.25">
      <c r="A1" s="148" t="s">
        <v>187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</row>
    <row r="2" spans="1:27" ht="25.5" x14ac:dyDescent="0.25">
      <c r="A2" s="148" t="s">
        <v>378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</row>
    <row r="3" spans="1:27" ht="25.5" x14ac:dyDescent="0.35">
      <c r="A3" s="149" t="s">
        <v>2</v>
      </c>
      <c r="B3" s="150" t="s">
        <v>3</v>
      </c>
      <c r="C3" s="150"/>
      <c r="D3" s="150" t="s">
        <v>4</v>
      </c>
      <c r="E3" s="3" t="s">
        <v>5</v>
      </c>
      <c r="F3" s="4" t="s">
        <v>6</v>
      </c>
      <c r="G3" s="3" t="s">
        <v>7</v>
      </c>
      <c r="H3" s="3" t="s">
        <v>8</v>
      </c>
      <c r="I3" s="5" t="s">
        <v>9</v>
      </c>
      <c r="J3" s="6" t="s">
        <v>9</v>
      </c>
      <c r="K3" s="7" t="s">
        <v>9</v>
      </c>
      <c r="L3" s="3" t="s">
        <v>10</v>
      </c>
      <c r="M3" s="8" t="s">
        <v>11</v>
      </c>
      <c r="O3" s="97"/>
      <c r="P3" s="97"/>
      <c r="Q3" s="97"/>
      <c r="R3" s="97"/>
      <c r="S3" s="97"/>
      <c r="T3" s="97"/>
      <c r="U3" s="97"/>
      <c r="V3" s="97"/>
      <c r="W3" s="97"/>
      <c r="X3" s="98"/>
      <c r="Y3" s="97"/>
      <c r="Z3" s="97"/>
      <c r="AA3" s="97"/>
    </row>
    <row r="4" spans="1:27" ht="25.5" x14ac:dyDescent="0.35">
      <c r="A4" s="149"/>
      <c r="B4" s="4" t="s">
        <v>12</v>
      </c>
      <c r="C4" s="4" t="s">
        <v>13</v>
      </c>
      <c r="D4" s="150"/>
      <c r="E4" s="3" t="s">
        <v>14</v>
      </c>
      <c r="F4" s="4" t="s">
        <v>15</v>
      </c>
      <c r="G4" s="4" t="s">
        <v>16</v>
      </c>
      <c r="H4" s="4" t="s">
        <v>17</v>
      </c>
      <c r="I4" s="12" t="s">
        <v>18</v>
      </c>
      <c r="J4" s="13" t="s">
        <v>19</v>
      </c>
      <c r="K4" s="14" t="s">
        <v>20</v>
      </c>
      <c r="L4" s="4" t="s">
        <v>21</v>
      </c>
      <c r="M4" s="8" t="s">
        <v>22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</row>
    <row r="5" spans="1:27" ht="27.75" x14ac:dyDescent="0.4">
      <c r="A5" s="164" t="s">
        <v>23</v>
      </c>
      <c r="B5" s="102" t="s">
        <v>345</v>
      </c>
      <c r="C5" s="102" t="s">
        <v>265</v>
      </c>
      <c r="D5" s="15">
        <v>4</v>
      </c>
      <c r="E5" s="15">
        <f>(36+6)*2</f>
        <v>84</v>
      </c>
      <c r="F5" s="15">
        <f>E5*D5</f>
        <v>336</v>
      </c>
      <c r="G5" s="15">
        <v>0.8</v>
      </c>
      <c r="H5" s="16">
        <f>F5*G5</f>
        <v>268.8</v>
      </c>
      <c r="I5" s="49">
        <f>(H5/(230*0.85))*1000</f>
        <v>1374.9360613810741</v>
      </c>
      <c r="J5" s="52"/>
      <c r="K5" s="54"/>
      <c r="L5" s="152">
        <v>6</v>
      </c>
      <c r="M5" s="15" t="s">
        <v>266</v>
      </c>
      <c r="N5" s="97"/>
      <c r="O5" s="97"/>
    </row>
    <row r="6" spans="1:27" ht="27.75" x14ac:dyDescent="0.4">
      <c r="A6" s="202"/>
      <c r="B6" s="102" t="s">
        <v>267</v>
      </c>
      <c r="C6" s="102" t="s">
        <v>268</v>
      </c>
      <c r="D6" s="15">
        <v>3</v>
      </c>
      <c r="E6" s="15">
        <f>(36+6)</f>
        <v>42</v>
      </c>
      <c r="F6" s="15">
        <f t="shared" ref="F6:F33" si="0">E6*D6</f>
        <v>126</v>
      </c>
      <c r="G6" s="15">
        <v>0.8</v>
      </c>
      <c r="H6" s="16">
        <f t="shared" ref="H6:H33" si="1">F6*G6</f>
        <v>100.80000000000001</v>
      </c>
      <c r="I6" s="49">
        <f t="shared" ref="I6:I53" si="2">(H6/(230*0.85))*1000</f>
        <v>515.60102301790289</v>
      </c>
      <c r="J6" s="52"/>
      <c r="K6" s="54"/>
      <c r="L6" s="153"/>
      <c r="M6" s="15" t="s">
        <v>266</v>
      </c>
      <c r="N6" s="97"/>
      <c r="O6" s="97"/>
    </row>
    <row r="7" spans="1:27" ht="27.75" x14ac:dyDescent="0.4">
      <c r="A7" s="165"/>
      <c r="B7" s="102" t="s">
        <v>269</v>
      </c>
      <c r="C7" s="102" t="s">
        <v>268</v>
      </c>
      <c r="D7" s="15">
        <v>3</v>
      </c>
      <c r="E7" s="15">
        <f>(36+6)</f>
        <v>42</v>
      </c>
      <c r="F7" s="15">
        <f t="shared" si="0"/>
        <v>126</v>
      </c>
      <c r="G7" s="15">
        <v>0.8</v>
      </c>
      <c r="H7" s="16">
        <f t="shared" si="1"/>
        <v>100.80000000000001</v>
      </c>
      <c r="I7" s="49">
        <f t="shared" si="2"/>
        <v>515.60102301790289</v>
      </c>
      <c r="J7" s="52"/>
      <c r="K7" s="54"/>
      <c r="L7" s="154"/>
      <c r="M7" s="15" t="s">
        <v>266</v>
      </c>
      <c r="N7" s="97"/>
      <c r="O7" s="97"/>
    </row>
    <row r="8" spans="1:27" ht="27.75" x14ac:dyDescent="0.4">
      <c r="A8" s="15"/>
      <c r="B8" s="93"/>
      <c r="C8" s="93"/>
      <c r="D8" s="15"/>
      <c r="E8" s="15"/>
      <c r="F8" s="15">
        <f t="shared" si="0"/>
        <v>0</v>
      </c>
      <c r="G8" s="15">
        <v>0.8</v>
      </c>
      <c r="H8" s="16"/>
      <c r="I8" s="49"/>
      <c r="J8" s="52"/>
      <c r="K8" s="54"/>
      <c r="L8" s="15"/>
      <c r="M8" s="15"/>
      <c r="N8" s="97"/>
      <c r="O8" s="97"/>
    </row>
    <row r="9" spans="1:27" ht="27.75" x14ac:dyDescent="0.4">
      <c r="A9" s="147" t="s">
        <v>29</v>
      </c>
      <c r="B9" s="102" t="s">
        <v>270</v>
      </c>
      <c r="C9" s="102" t="s">
        <v>268</v>
      </c>
      <c r="D9" s="15">
        <v>2</v>
      </c>
      <c r="E9" s="15">
        <f>(36+6)</f>
        <v>42</v>
      </c>
      <c r="F9" s="15">
        <f t="shared" si="0"/>
        <v>84</v>
      </c>
      <c r="G9" s="15">
        <v>0.8</v>
      </c>
      <c r="H9" s="16">
        <f t="shared" si="1"/>
        <v>67.2</v>
      </c>
      <c r="I9" s="49"/>
      <c r="J9" s="52">
        <f t="shared" ref="J9:J46" si="3">(H9/(230*0.85))*1000</f>
        <v>343.73401534526852</v>
      </c>
      <c r="K9" s="54"/>
      <c r="L9" s="152">
        <v>6</v>
      </c>
      <c r="M9" s="15" t="s">
        <v>266</v>
      </c>
      <c r="N9" s="97"/>
      <c r="O9" s="97"/>
    </row>
    <row r="10" spans="1:27" ht="27.75" x14ac:dyDescent="0.4">
      <c r="A10" s="147"/>
      <c r="B10" s="102" t="s">
        <v>355</v>
      </c>
      <c r="C10" s="102" t="s">
        <v>265</v>
      </c>
      <c r="D10" s="15">
        <v>3</v>
      </c>
      <c r="E10" s="15">
        <f>(36+6)*2</f>
        <v>84</v>
      </c>
      <c r="F10" s="15">
        <f t="shared" si="0"/>
        <v>252</v>
      </c>
      <c r="G10" s="15">
        <v>0.8</v>
      </c>
      <c r="H10" s="16">
        <f t="shared" si="1"/>
        <v>201.60000000000002</v>
      </c>
      <c r="I10" s="49"/>
      <c r="J10" s="52">
        <f t="shared" si="3"/>
        <v>1031.2020460358058</v>
      </c>
      <c r="K10" s="54"/>
      <c r="L10" s="154"/>
      <c r="M10" s="15" t="s">
        <v>266</v>
      </c>
      <c r="N10" s="97"/>
      <c r="O10" s="97"/>
    </row>
    <row r="11" spans="1:27" ht="27.75" x14ac:dyDescent="0.4">
      <c r="A11" s="17"/>
      <c r="B11" s="102"/>
      <c r="C11" s="102"/>
      <c r="D11" s="17"/>
      <c r="E11" s="17"/>
      <c r="F11" s="15">
        <f t="shared" si="0"/>
        <v>0</v>
      </c>
      <c r="G11" s="15">
        <v>0.8</v>
      </c>
      <c r="H11" s="16"/>
      <c r="I11" s="49"/>
      <c r="J11" s="52"/>
      <c r="K11" s="54"/>
      <c r="L11" s="15"/>
      <c r="M11" s="15"/>
      <c r="N11" s="97"/>
      <c r="O11" s="97"/>
    </row>
    <row r="12" spans="1:27" ht="27.75" x14ac:dyDescent="0.4">
      <c r="A12" s="146" t="s">
        <v>31</v>
      </c>
      <c r="B12" s="102" t="s">
        <v>273</v>
      </c>
      <c r="C12" s="102" t="s">
        <v>265</v>
      </c>
      <c r="D12" s="15">
        <v>5</v>
      </c>
      <c r="E12" s="15">
        <f>(36+6)*2</f>
        <v>84</v>
      </c>
      <c r="F12" s="15">
        <f t="shared" si="0"/>
        <v>420</v>
      </c>
      <c r="G12" s="15">
        <v>0.8</v>
      </c>
      <c r="H12" s="16">
        <f t="shared" si="1"/>
        <v>336</v>
      </c>
      <c r="I12" s="49"/>
      <c r="J12" s="52"/>
      <c r="K12" s="54">
        <f t="shared" ref="K12:K48" si="4">(H12/(230*0.85))*1000</f>
        <v>1718.6700767263428</v>
      </c>
      <c r="L12" s="152">
        <v>6</v>
      </c>
      <c r="M12" s="15" t="s">
        <v>266</v>
      </c>
      <c r="N12" s="97"/>
      <c r="O12" s="97"/>
    </row>
    <row r="13" spans="1:27" ht="27.75" x14ac:dyDescent="0.4">
      <c r="A13" s="146"/>
      <c r="B13" s="103" t="s">
        <v>274</v>
      </c>
      <c r="C13" s="102" t="s">
        <v>265</v>
      </c>
      <c r="D13" s="15">
        <v>5</v>
      </c>
      <c r="E13" s="15">
        <f>(36+6)*2</f>
        <v>84</v>
      </c>
      <c r="F13" s="15">
        <f t="shared" si="0"/>
        <v>420</v>
      </c>
      <c r="G13" s="15">
        <v>0.8</v>
      </c>
      <c r="H13" s="16">
        <f t="shared" si="1"/>
        <v>336</v>
      </c>
      <c r="I13" s="49"/>
      <c r="J13" s="52"/>
      <c r="K13" s="54">
        <f t="shared" si="4"/>
        <v>1718.6700767263428</v>
      </c>
      <c r="L13" s="154"/>
      <c r="M13" s="15" t="s">
        <v>266</v>
      </c>
      <c r="N13" s="97"/>
      <c r="O13" s="97"/>
    </row>
    <row r="14" spans="1:27" ht="27.75" x14ac:dyDescent="0.4">
      <c r="A14" s="17"/>
      <c r="B14" s="102"/>
      <c r="C14" s="102"/>
      <c r="D14" s="17"/>
      <c r="E14" s="17"/>
      <c r="F14" s="15">
        <f t="shared" si="0"/>
        <v>0</v>
      </c>
      <c r="G14" s="15">
        <v>0.8</v>
      </c>
      <c r="H14" s="16"/>
      <c r="I14" s="49"/>
      <c r="J14" s="52"/>
      <c r="K14" s="54"/>
      <c r="L14" s="15"/>
      <c r="M14" s="15"/>
      <c r="N14" s="97"/>
      <c r="O14" s="97"/>
    </row>
    <row r="15" spans="1:27" ht="27.75" x14ac:dyDescent="0.4">
      <c r="A15" s="144" t="s">
        <v>34</v>
      </c>
      <c r="B15" s="102" t="s">
        <v>356</v>
      </c>
      <c r="C15" s="102" t="s">
        <v>265</v>
      </c>
      <c r="D15" s="15">
        <v>3</v>
      </c>
      <c r="E15" s="15">
        <f>(36+6)*2</f>
        <v>84</v>
      </c>
      <c r="F15" s="15">
        <f t="shared" si="0"/>
        <v>252</v>
      </c>
      <c r="G15" s="15">
        <v>0.8</v>
      </c>
      <c r="H15" s="16">
        <f t="shared" si="1"/>
        <v>201.60000000000002</v>
      </c>
      <c r="I15" s="49">
        <f t="shared" si="2"/>
        <v>1031.2020460358058</v>
      </c>
      <c r="J15" s="52"/>
      <c r="K15" s="54"/>
      <c r="L15" s="152">
        <v>6</v>
      </c>
      <c r="M15" s="15" t="s">
        <v>266</v>
      </c>
      <c r="N15" s="97"/>
      <c r="O15" s="97"/>
    </row>
    <row r="16" spans="1:27" ht="27.75" x14ac:dyDescent="0.4">
      <c r="A16" s="144"/>
      <c r="B16" s="103" t="s">
        <v>275</v>
      </c>
      <c r="C16" s="102" t="s">
        <v>265</v>
      </c>
      <c r="D16" s="15">
        <v>3</v>
      </c>
      <c r="E16" s="15">
        <f>(36+6)*2</f>
        <v>84</v>
      </c>
      <c r="F16" s="15">
        <f t="shared" si="0"/>
        <v>252</v>
      </c>
      <c r="G16" s="15">
        <v>0.8</v>
      </c>
      <c r="H16" s="16">
        <f t="shared" si="1"/>
        <v>201.60000000000002</v>
      </c>
      <c r="I16" s="49">
        <f t="shared" si="2"/>
        <v>1031.2020460358058</v>
      </c>
      <c r="J16" s="52"/>
      <c r="K16" s="54"/>
      <c r="L16" s="154"/>
      <c r="M16" s="15" t="s">
        <v>266</v>
      </c>
      <c r="N16" s="97"/>
      <c r="O16" s="97"/>
    </row>
    <row r="17" spans="1:15" ht="27.75" x14ac:dyDescent="0.4">
      <c r="A17" s="17"/>
      <c r="B17" s="102"/>
      <c r="C17" s="102"/>
      <c r="D17" s="17"/>
      <c r="E17" s="17"/>
      <c r="F17" s="15">
        <f t="shared" si="0"/>
        <v>0</v>
      </c>
      <c r="G17" s="15">
        <v>0.8</v>
      </c>
      <c r="H17" s="16"/>
      <c r="I17" s="49"/>
      <c r="J17" s="52"/>
      <c r="K17" s="54"/>
      <c r="L17" s="15"/>
      <c r="M17" s="15"/>
      <c r="N17" s="97"/>
      <c r="O17" s="97"/>
    </row>
    <row r="18" spans="1:15" ht="27.75" x14ac:dyDescent="0.4">
      <c r="A18" s="37" t="s">
        <v>36</v>
      </c>
      <c r="B18" s="102" t="s">
        <v>276</v>
      </c>
      <c r="C18" s="102" t="s">
        <v>265</v>
      </c>
      <c r="D18" s="15">
        <v>6</v>
      </c>
      <c r="E18" s="15">
        <f>(36+6)*2</f>
        <v>84</v>
      </c>
      <c r="F18" s="15">
        <f t="shared" si="0"/>
        <v>504</v>
      </c>
      <c r="G18" s="15">
        <v>0.8</v>
      </c>
      <c r="H18" s="16">
        <f>F18*G18</f>
        <v>403.20000000000005</v>
      </c>
      <c r="I18" s="49"/>
      <c r="J18" s="52">
        <f t="shared" si="3"/>
        <v>2062.4040920716116</v>
      </c>
      <c r="K18" s="54"/>
      <c r="L18" s="15">
        <v>6</v>
      </c>
      <c r="M18" s="15" t="s">
        <v>266</v>
      </c>
      <c r="N18" s="97"/>
      <c r="O18" s="97"/>
    </row>
    <row r="19" spans="1:15" ht="27.75" x14ac:dyDescent="0.4">
      <c r="A19" s="15"/>
      <c r="B19" s="93"/>
      <c r="C19" s="93"/>
      <c r="D19" s="15"/>
      <c r="E19" s="15"/>
      <c r="F19" s="15"/>
      <c r="G19" s="15"/>
      <c r="H19" s="16"/>
      <c r="I19" s="49"/>
      <c r="J19" s="52"/>
      <c r="K19" s="54"/>
      <c r="L19" s="15"/>
      <c r="M19" s="15"/>
      <c r="N19" s="97"/>
      <c r="O19" s="97"/>
    </row>
    <row r="20" spans="1:15" ht="27.75" x14ac:dyDescent="0.4">
      <c r="A20" s="36" t="s">
        <v>38</v>
      </c>
      <c r="B20" s="102" t="s">
        <v>277</v>
      </c>
      <c r="C20" s="102" t="s">
        <v>268</v>
      </c>
      <c r="D20" s="15">
        <v>8</v>
      </c>
      <c r="E20" s="15">
        <f>(36+6)</f>
        <v>42</v>
      </c>
      <c r="F20" s="15">
        <f t="shared" si="0"/>
        <v>336</v>
      </c>
      <c r="G20" s="15">
        <v>0.8</v>
      </c>
      <c r="H20" s="16">
        <f t="shared" si="1"/>
        <v>268.8</v>
      </c>
      <c r="I20" s="49"/>
      <c r="J20" s="52"/>
      <c r="K20" s="54">
        <f t="shared" si="4"/>
        <v>1374.9360613810741</v>
      </c>
      <c r="L20" s="15">
        <v>6</v>
      </c>
      <c r="M20" s="15" t="s">
        <v>266</v>
      </c>
      <c r="N20" s="97"/>
      <c r="O20" s="97"/>
    </row>
    <row r="21" spans="1:15" ht="27.75" x14ac:dyDescent="0.4">
      <c r="A21" s="17"/>
      <c r="B21" s="102"/>
      <c r="C21" s="102"/>
      <c r="D21" s="17"/>
      <c r="E21" s="17"/>
      <c r="F21" s="15">
        <f t="shared" si="0"/>
        <v>0</v>
      </c>
      <c r="G21" s="15">
        <v>0.8</v>
      </c>
      <c r="H21" s="16"/>
      <c r="I21" s="49"/>
      <c r="J21" s="52"/>
      <c r="K21" s="54"/>
      <c r="L21" s="15"/>
      <c r="M21" s="15"/>
      <c r="N21" s="97"/>
      <c r="O21" s="97"/>
    </row>
    <row r="22" spans="1:15" ht="27.75" x14ac:dyDescent="0.4">
      <c r="A22" s="144" t="s">
        <v>40</v>
      </c>
      <c r="B22" s="102" t="s">
        <v>279</v>
      </c>
      <c r="C22" s="102" t="s">
        <v>268</v>
      </c>
      <c r="D22" s="17">
        <v>2</v>
      </c>
      <c r="E22" s="15">
        <f>(36+6)</f>
        <v>42</v>
      </c>
      <c r="F22" s="15">
        <f t="shared" si="0"/>
        <v>84</v>
      </c>
      <c r="G22" s="15">
        <v>0.8</v>
      </c>
      <c r="H22" s="16">
        <f t="shared" si="1"/>
        <v>67.2</v>
      </c>
      <c r="I22" s="49">
        <f t="shared" si="2"/>
        <v>343.73401534526852</v>
      </c>
      <c r="J22" s="52"/>
      <c r="K22" s="54"/>
      <c r="L22" s="152">
        <v>6</v>
      </c>
      <c r="M22" s="15" t="s">
        <v>266</v>
      </c>
      <c r="N22" s="97"/>
      <c r="O22" s="97"/>
    </row>
    <row r="23" spans="1:15" ht="27.75" x14ac:dyDescent="0.4">
      <c r="A23" s="144"/>
      <c r="B23" s="102" t="s">
        <v>280</v>
      </c>
      <c r="C23" s="102" t="s">
        <v>268</v>
      </c>
      <c r="D23" s="17">
        <v>3</v>
      </c>
      <c r="E23" s="15">
        <f>(36+6)</f>
        <v>42</v>
      </c>
      <c r="F23" s="15">
        <f t="shared" si="0"/>
        <v>126</v>
      </c>
      <c r="G23" s="15">
        <v>0.8</v>
      </c>
      <c r="H23" s="16">
        <f t="shared" si="1"/>
        <v>100.80000000000001</v>
      </c>
      <c r="I23" s="49">
        <f t="shared" si="2"/>
        <v>515.60102301790289</v>
      </c>
      <c r="J23" s="52"/>
      <c r="K23" s="54"/>
      <c r="L23" s="154"/>
      <c r="M23" s="15" t="s">
        <v>266</v>
      </c>
      <c r="N23" s="97"/>
      <c r="O23" s="97"/>
    </row>
    <row r="24" spans="1:15" ht="27.75" x14ac:dyDescent="0.4">
      <c r="A24" s="15"/>
      <c r="B24" s="93"/>
      <c r="C24" s="93"/>
      <c r="D24" s="15"/>
      <c r="E24" s="15"/>
      <c r="F24" s="15"/>
      <c r="G24" s="15"/>
      <c r="H24" s="16"/>
      <c r="I24" s="49"/>
      <c r="J24" s="52"/>
      <c r="K24" s="54"/>
      <c r="L24" s="15"/>
      <c r="M24" s="15"/>
      <c r="N24" s="97"/>
      <c r="O24" s="97"/>
    </row>
    <row r="25" spans="1:15" ht="27.75" x14ac:dyDescent="0.4">
      <c r="A25" s="147" t="s">
        <v>43</v>
      </c>
      <c r="B25" s="102" t="s">
        <v>348</v>
      </c>
      <c r="C25" s="102" t="s">
        <v>265</v>
      </c>
      <c r="D25" s="15">
        <v>3</v>
      </c>
      <c r="E25" s="15">
        <f>(36+6)*2</f>
        <v>84</v>
      </c>
      <c r="F25" s="15">
        <f t="shared" si="0"/>
        <v>252</v>
      </c>
      <c r="G25" s="15">
        <v>0.8</v>
      </c>
      <c r="H25" s="16">
        <f t="shared" si="1"/>
        <v>201.60000000000002</v>
      </c>
      <c r="I25" s="49"/>
      <c r="J25" s="52">
        <f t="shared" si="3"/>
        <v>1031.2020460358058</v>
      </c>
      <c r="K25" s="54"/>
      <c r="L25" s="152">
        <v>6</v>
      </c>
      <c r="M25" s="15" t="s">
        <v>266</v>
      </c>
      <c r="N25" s="97"/>
      <c r="O25" s="97"/>
    </row>
    <row r="26" spans="1:15" ht="27.75" x14ac:dyDescent="0.4">
      <c r="A26" s="147"/>
      <c r="B26" s="102" t="s">
        <v>281</v>
      </c>
      <c r="C26" s="102" t="s">
        <v>265</v>
      </c>
      <c r="D26" s="15">
        <v>3</v>
      </c>
      <c r="E26" s="15">
        <f t="shared" ref="E26:E27" si="5">(36+6)*2</f>
        <v>84</v>
      </c>
      <c r="F26" s="15">
        <f t="shared" si="0"/>
        <v>252</v>
      </c>
      <c r="G26" s="15">
        <v>0.8</v>
      </c>
      <c r="H26" s="16">
        <f t="shared" si="1"/>
        <v>201.60000000000002</v>
      </c>
      <c r="I26" s="49"/>
      <c r="J26" s="52">
        <f t="shared" si="3"/>
        <v>1031.2020460358058</v>
      </c>
      <c r="K26" s="54"/>
      <c r="L26" s="153"/>
      <c r="M26" s="15" t="s">
        <v>266</v>
      </c>
      <c r="N26" s="97"/>
      <c r="O26" s="97"/>
    </row>
    <row r="27" spans="1:15" ht="27.75" x14ac:dyDescent="0.4">
      <c r="A27" s="147"/>
      <c r="B27" s="102" t="s">
        <v>281</v>
      </c>
      <c r="C27" s="102" t="s">
        <v>265</v>
      </c>
      <c r="D27" s="15">
        <v>3</v>
      </c>
      <c r="E27" s="15">
        <f t="shared" si="5"/>
        <v>84</v>
      </c>
      <c r="F27" s="15">
        <f t="shared" si="0"/>
        <v>252</v>
      </c>
      <c r="G27" s="15">
        <v>0.8</v>
      </c>
      <c r="H27" s="16">
        <f t="shared" si="1"/>
        <v>201.60000000000002</v>
      </c>
      <c r="I27" s="49"/>
      <c r="J27" s="52">
        <f t="shared" si="3"/>
        <v>1031.2020460358058</v>
      </c>
      <c r="K27" s="54"/>
      <c r="L27" s="154"/>
      <c r="M27" s="15" t="s">
        <v>266</v>
      </c>
      <c r="N27" s="97"/>
      <c r="O27" s="97"/>
    </row>
    <row r="28" spans="1:15" ht="27.75" x14ac:dyDescent="0.4">
      <c r="A28" s="17"/>
      <c r="B28" s="102"/>
      <c r="C28" s="102"/>
      <c r="D28" s="17"/>
      <c r="E28" s="17"/>
      <c r="F28" s="15"/>
      <c r="G28" s="15"/>
      <c r="H28" s="16"/>
      <c r="I28" s="49"/>
      <c r="J28" s="52"/>
      <c r="K28" s="54"/>
      <c r="L28" s="15"/>
      <c r="M28" s="15"/>
      <c r="N28" s="97"/>
      <c r="O28" s="97"/>
    </row>
    <row r="29" spans="1:15" ht="27.75" x14ac:dyDescent="0.4">
      <c r="A29" s="99" t="s">
        <v>48</v>
      </c>
      <c r="B29" s="102" t="s">
        <v>284</v>
      </c>
      <c r="C29" s="102" t="s">
        <v>265</v>
      </c>
      <c r="D29" s="15">
        <v>8</v>
      </c>
      <c r="E29" s="15">
        <f>(36+6)*2</f>
        <v>84</v>
      </c>
      <c r="F29" s="15">
        <f t="shared" si="0"/>
        <v>672</v>
      </c>
      <c r="G29" s="15">
        <v>0.8</v>
      </c>
      <c r="H29" s="16">
        <f t="shared" si="1"/>
        <v>537.6</v>
      </c>
      <c r="I29" s="49"/>
      <c r="J29" s="52"/>
      <c r="K29" s="54">
        <f t="shared" si="4"/>
        <v>2749.8721227621481</v>
      </c>
      <c r="L29" s="15">
        <v>6</v>
      </c>
      <c r="M29" s="15" t="s">
        <v>266</v>
      </c>
      <c r="N29" s="97"/>
      <c r="O29" s="97"/>
    </row>
    <row r="30" spans="1:15" ht="27.75" x14ac:dyDescent="0.4">
      <c r="A30" s="17"/>
      <c r="B30" s="102"/>
      <c r="C30" s="102"/>
      <c r="D30" s="17"/>
      <c r="E30" s="17"/>
      <c r="F30" s="15"/>
      <c r="G30" s="15"/>
      <c r="H30" s="16"/>
      <c r="I30" s="49"/>
      <c r="J30" s="52"/>
      <c r="K30" s="54"/>
      <c r="L30" s="15"/>
      <c r="M30" s="15"/>
      <c r="N30" s="97"/>
      <c r="O30" s="97"/>
    </row>
    <row r="31" spans="1:15" ht="27.75" x14ac:dyDescent="0.4">
      <c r="A31" s="38" t="s">
        <v>57</v>
      </c>
      <c r="B31" s="102" t="s">
        <v>285</v>
      </c>
      <c r="C31" s="102" t="s">
        <v>268</v>
      </c>
      <c r="D31" s="15">
        <v>9</v>
      </c>
      <c r="E31" s="15">
        <f>(36+6)*1</f>
        <v>42</v>
      </c>
      <c r="F31" s="15">
        <f t="shared" si="0"/>
        <v>378</v>
      </c>
      <c r="G31" s="15">
        <v>0.8</v>
      </c>
      <c r="H31" s="16">
        <f t="shared" si="1"/>
        <v>302.40000000000003</v>
      </c>
      <c r="I31" s="49">
        <f t="shared" si="2"/>
        <v>1546.8030690537087</v>
      </c>
      <c r="J31" s="52"/>
      <c r="K31" s="54"/>
      <c r="L31" s="15">
        <v>6</v>
      </c>
      <c r="M31" s="15" t="s">
        <v>266</v>
      </c>
      <c r="N31" s="97"/>
      <c r="O31" s="97"/>
    </row>
    <row r="32" spans="1:15" ht="27.75" x14ac:dyDescent="0.4">
      <c r="A32" s="17"/>
      <c r="B32" s="102"/>
      <c r="C32" s="102"/>
      <c r="D32" s="17"/>
      <c r="E32" s="17"/>
      <c r="F32" s="15"/>
      <c r="G32" s="15"/>
      <c r="H32" s="16"/>
      <c r="I32" s="49"/>
      <c r="J32" s="52"/>
      <c r="K32" s="54"/>
      <c r="L32" s="15"/>
      <c r="M32" s="15"/>
      <c r="N32" s="97"/>
      <c r="O32" s="97"/>
    </row>
    <row r="33" spans="1:15" ht="27.75" x14ac:dyDescent="0.4">
      <c r="A33" s="37" t="s">
        <v>61</v>
      </c>
      <c r="B33" s="102" t="s">
        <v>284</v>
      </c>
      <c r="C33" s="102" t="s">
        <v>265</v>
      </c>
      <c r="D33" s="15">
        <v>8</v>
      </c>
      <c r="E33" s="15">
        <f>(36+6)*2</f>
        <v>84</v>
      </c>
      <c r="F33" s="15">
        <f t="shared" si="0"/>
        <v>672</v>
      </c>
      <c r="G33" s="15">
        <v>0.8</v>
      </c>
      <c r="H33" s="16">
        <f t="shared" si="1"/>
        <v>537.6</v>
      </c>
      <c r="I33" s="49"/>
      <c r="J33" s="52">
        <f t="shared" si="3"/>
        <v>2749.8721227621481</v>
      </c>
      <c r="K33" s="54"/>
      <c r="L33" s="15">
        <v>6</v>
      </c>
      <c r="M33" s="15" t="s">
        <v>266</v>
      </c>
      <c r="N33" s="97"/>
      <c r="O33" s="97"/>
    </row>
    <row r="34" spans="1:15" ht="27.75" x14ac:dyDescent="0.4">
      <c r="A34" s="17"/>
      <c r="B34" s="102"/>
      <c r="C34" s="102"/>
      <c r="D34" s="17"/>
      <c r="E34" s="17"/>
      <c r="F34" s="15"/>
      <c r="G34" s="15"/>
      <c r="H34" s="16"/>
      <c r="I34" s="49"/>
      <c r="J34" s="52"/>
      <c r="K34" s="54"/>
      <c r="L34" s="15"/>
      <c r="M34" s="15"/>
      <c r="N34" s="97"/>
      <c r="O34" s="97"/>
    </row>
    <row r="35" spans="1:15" ht="27.75" x14ac:dyDescent="0.4">
      <c r="A35" s="36" t="s">
        <v>63</v>
      </c>
      <c r="B35" s="102" t="s">
        <v>286</v>
      </c>
      <c r="C35" s="102" t="s">
        <v>265</v>
      </c>
      <c r="D35" s="15">
        <v>3</v>
      </c>
      <c r="E35" s="15">
        <f>(36+6)*2</f>
        <v>84</v>
      </c>
      <c r="F35" s="15">
        <f>E35*D35</f>
        <v>252</v>
      </c>
      <c r="G35" s="15">
        <v>0.8</v>
      </c>
      <c r="H35" s="16">
        <f>F35*G35</f>
        <v>201.60000000000002</v>
      </c>
      <c r="I35" s="49"/>
      <c r="J35" s="52"/>
      <c r="K35" s="54">
        <f t="shared" si="4"/>
        <v>1031.2020460358058</v>
      </c>
      <c r="L35" s="15">
        <v>6</v>
      </c>
      <c r="M35" s="15" t="s">
        <v>266</v>
      </c>
      <c r="N35" s="97"/>
      <c r="O35" s="97"/>
    </row>
    <row r="36" spans="1:15" x14ac:dyDescent="0.4">
      <c r="A36" s="17"/>
      <c r="B36" s="17"/>
      <c r="C36" s="17"/>
      <c r="D36" s="17"/>
      <c r="E36" s="17"/>
      <c r="F36" s="15"/>
      <c r="G36" s="15"/>
      <c r="H36" s="16"/>
      <c r="I36" s="49"/>
      <c r="J36" s="52"/>
      <c r="K36" s="54"/>
      <c r="L36" s="15"/>
      <c r="M36" s="15"/>
      <c r="N36" s="97"/>
      <c r="O36" s="97"/>
    </row>
    <row r="37" spans="1:15" x14ac:dyDescent="0.4">
      <c r="A37" s="164" t="s">
        <v>64</v>
      </c>
      <c r="B37" s="15" t="s">
        <v>287</v>
      </c>
      <c r="C37" s="94" t="s">
        <v>288</v>
      </c>
      <c r="D37" s="15">
        <v>6</v>
      </c>
      <c r="E37" s="15">
        <f>25.7</f>
        <v>25.7</v>
      </c>
      <c r="F37" s="15">
        <f t="shared" ref="F37:F46" si="6">E37*D37</f>
        <v>154.19999999999999</v>
      </c>
      <c r="G37" s="15">
        <v>0.8</v>
      </c>
      <c r="H37" s="16">
        <f t="shared" ref="H37:H49" si="7">F37*G37</f>
        <v>123.36</v>
      </c>
      <c r="I37" s="49">
        <f t="shared" si="2"/>
        <v>630.99744245524289</v>
      </c>
      <c r="J37" s="52"/>
      <c r="K37" s="54"/>
      <c r="L37" s="152">
        <v>6</v>
      </c>
      <c r="M37" s="15" t="s">
        <v>266</v>
      </c>
      <c r="N37" s="97"/>
      <c r="O37" s="97"/>
    </row>
    <row r="38" spans="1:15" x14ac:dyDescent="0.4">
      <c r="A38" s="165"/>
      <c r="B38" s="95" t="s">
        <v>289</v>
      </c>
      <c r="C38" s="94" t="s">
        <v>290</v>
      </c>
      <c r="D38" s="17">
        <v>3</v>
      </c>
      <c r="E38" s="15">
        <v>1.2</v>
      </c>
      <c r="F38" s="15">
        <f t="shared" si="6"/>
        <v>3.5999999999999996</v>
      </c>
      <c r="G38" s="15">
        <v>0.8</v>
      </c>
      <c r="H38" s="16">
        <f t="shared" si="7"/>
        <v>2.88</v>
      </c>
      <c r="I38" s="49">
        <f t="shared" si="2"/>
        <v>14.731457800511508</v>
      </c>
      <c r="J38" s="52"/>
      <c r="K38" s="54"/>
      <c r="L38" s="154"/>
      <c r="M38" s="15" t="s">
        <v>266</v>
      </c>
      <c r="N38" s="97"/>
      <c r="O38" s="97"/>
    </row>
    <row r="39" spans="1:15" x14ac:dyDescent="0.4">
      <c r="A39" s="15"/>
      <c r="B39" s="15"/>
      <c r="C39" s="15"/>
      <c r="D39" s="15"/>
      <c r="E39" s="15"/>
      <c r="F39" s="15"/>
      <c r="G39" s="15"/>
      <c r="H39" s="16"/>
      <c r="I39" s="49"/>
      <c r="J39" s="52"/>
      <c r="K39" s="54"/>
      <c r="L39" s="15"/>
      <c r="M39" s="15"/>
      <c r="N39" s="97"/>
      <c r="O39" s="97"/>
    </row>
    <row r="40" spans="1:15" x14ac:dyDescent="0.4">
      <c r="A40" s="37" t="s">
        <v>65</v>
      </c>
      <c r="B40" s="95" t="s">
        <v>289</v>
      </c>
      <c r="C40" s="17" t="s">
        <v>290</v>
      </c>
      <c r="D40" s="15">
        <v>10</v>
      </c>
      <c r="E40" s="15">
        <v>1.2</v>
      </c>
      <c r="F40" s="15">
        <f t="shared" si="6"/>
        <v>12</v>
      </c>
      <c r="G40" s="15">
        <v>0.8</v>
      </c>
      <c r="H40" s="16">
        <f t="shared" si="7"/>
        <v>9.6000000000000014</v>
      </c>
      <c r="I40" s="49"/>
      <c r="J40" s="52">
        <f t="shared" si="3"/>
        <v>49.10485933503837</v>
      </c>
      <c r="K40" s="54"/>
      <c r="L40" s="15">
        <v>6</v>
      </c>
      <c r="M40" s="15" t="s">
        <v>266</v>
      </c>
      <c r="N40" s="97"/>
      <c r="O40" s="97"/>
    </row>
    <row r="41" spans="1:15" x14ac:dyDescent="0.4">
      <c r="A41" s="17"/>
      <c r="B41" s="95"/>
      <c r="C41" s="17"/>
      <c r="D41" s="15"/>
      <c r="E41" s="15"/>
      <c r="F41" s="15"/>
      <c r="G41" s="15"/>
      <c r="H41" s="16"/>
      <c r="I41" s="49"/>
      <c r="J41" s="52"/>
      <c r="K41" s="54"/>
      <c r="L41" s="15"/>
      <c r="M41" s="15"/>
      <c r="N41" s="97"/>
      <c r="O41" s="97"/>
    </row>
    <row r="42" spans="1:15" x14ac:dyDescent="0.4">
      <c r="A42" s="36" t="s">
        <v>66</v>
      </c>
      <c r="B42" s="95" t="s">
        <v>289</v>
      </c>
      <c r="C42" s="17" t="s">
        <v>290</v>
      </c>
      <c r="D42" s="15">
        <v>10</v>
      </c>
      <c r="E42" s="15">
        <v>1.2</v>
      </c>
      <c r="F42" s="15">
        <f t="shared" si="6"/>
        <v>12</v>
      </c>
      <c r="G42" s="15">
        <v>0.8</v>
      </c>
      <c r="H42" s="16">
        <f t="shared" si="7"/>
        <v>9.6000000000000014</v>
      </c>
      <c r="I42" s="49"/>
      <c r="J42" s="52"/>
      <c r="K42" s="54">
        <f t="shared" si="4"/>
        <v>49.10485933503837</v>
      </c>
      <c r="L42" s="15">
        <v>6</v>
      </c>
      <c r="M42" s="15" t="s">
        <v>266</v>
      </c>
      <c r="N42" s="97"/>
      <c r="O42" s="97"/>
    </row>
    <row r="43" spans="1:15" x14ac:dyDescent="0.4">
      <c r="A43" s="17"/>
      <c r="B43" s="15"/>
      <c r="C43" s="15"/>
      <c r="D43" s="15"/>
      <c r="E43" s="15"/>
      <c r="F43" s="15"/>
      <c r="G43" s="15"/>
      <c r="H43" s="16"/>
      <c r="I43" s="49"/>
      <c r="J43" s="52"/>
      <c r="K43" s="54"/>
      <c r="L43" s="15"/>
      <c r="M43" s="15"/>
      <c r="N43" s="97"/>
      <c r="O43" s="97"/>
    </row>
    <row r="44" spans="1:15" x14ac:dyDescent="0.4">
      <c r="A44" s="38" t="s">
        <v>68</v>
      </c>
      <c r="B44" s="95" t="s">
        <v>154</v>
      </c>
      <c r="C44" s="94" t="s">
        <v>291</v>
      </c>
      <c r="D44" s="15">
        <v>8</v>
      </c>
      <c r="E44" s="15">
        <v>2.5</v>
      </c>
      <c r="F44" s="15">
        <f t="shared" si="6"/>
        <v>20</v>
      </c>
      <c r="G44" s="15">
        <v>0.8</v>
      </c>
      <c r="H44" s="16">
        <f t="shared" si="7"/>
        <v>16</v>
      </c>
      <c r="I44" s="49">
        <f t="shared" si="2"/>
        <v>81.84143222506394</v>
      </c>
      <c r="J44" s="52"/>
      <c r="K44" s="54"/>
      <c r="L44" s="15">
        <v>6</v>
      </c>
      <c r="M44" s="15" t="s">
        <v>266</v>
      </c>
      <c r="N44" s="97"/>
      <c r="O44" s="97"/>
    </row>
    <row r="45" spans="1:15" x14ac:dyDescent="0.4">
      <c r="A45" s="15"/>
      <c r="B45" s="15"/>
      <c r="C45" s="15"/>
      <c r="D45" s="17"/>
      <c r="E45" s="15"/>
      <c r="F45" s="15">
        <f t="shared" si="6"/>
        <v>0</v>
      </c>
      <c r="G45" s="15">
        <v>0.8</v>
      </c>
      <c r="H45" s="16"/>
      <c r="I45" s="49"/>
      <c r="J45" s="52"/>
      <c r="K45" s="54"/>
      <c r="L45" s="15"/>
      <c r="M45" s="15"/>
      <c r="N45" s="97"/>
      <c r="O45" s="97"/>
    </row>
    <row r="46" spans="1:15" x14ac:dyDescent="0.4">
      <c r="A46" s="37" t="s">
        <v>69</v>
      </c>
      <c r="B46" s="95" t="s">
        <v>154</v>
      </c>
      <c r="C46" s="94" t="s">
        <v>291</v>
      </c>
      <c r="D46" s="15">
        <v>10</v>
      </c>
      <c r="E46" s="15">
        <v>2.5</v>
      </c>
      <c r="F46" s="15">
        <f t="shared" si="6"/>
        <v>25</v>
      </c>
      <c r="G46" s="15">
        <v>0.8</v>
      </c>
      <c r="H46" s="16">
        <f t="shared" si="7"/>
        <v>20</v>
      </c>
      <c r="I46" s="49"/>
      <c r="J46" s="52">
        <f t="shared" si="3"/>
        <v>102.30179028132991</v>
      </c>
      <c r="K46" s="54"/>
      <c r="L46" s="15">
        <v>6</v>
      </c>
      <c r="M46" s="15" t="s">
        <v>266</v>
      </c>
      <c r="N46" s="97"/>
      <c r="O46" s="97"/>
    </row>
    <row r="47" spans="1:15" x14ac:dyDescent="0.4">
      <c r="A47" s="17"/>
      <c r="B47" s="15"/>
      <c r="C47" s="15"/>
      <c r="D47" s="15"/>
      <c r="E47" s="15"/>
      <c r="F47" s="15"/>
      <c r="G47" s="15"/>
      <c r="H47" s="16"/>
      <c r="I47" s="49"/>
      <c r="J47" s="52"/>
      <c r="K47" s="54"/>
      <c r="L47" s="15"/>
      <c r="M47" s="15"/>
      <c r="N47" s="97"/>
      <c r="O47" s="97"/>
    </row>
    <row r="48" spans="1:15" x14ac:dyDescent="0.4">
      <c r="A48" s="208" t="s">
        <v>71</v>
      </c>
      <c r="B48" s="95" t="s">
        <v>292</v>
      </c>
      <c r="C48" s="94" t="s">
        <v>293</v>
      </c>
      <c r="D48" s="15">
        <v>3</v>
      </c>
      <c r="E48" s="15">
        <v>25.7</v>
      </c>
      <c r="F48" s="15">
        <f>25.7*6</f>
        <v>154.19999999999999</v>
      </c>
      <c r="G48" s="15">
        <v>0.8</v>
      </c>
      <c r="H48" s="16">
        <f t="shared" si="7"/>
        <v>123.36</v>
      </c>
      <c r="I48" s="49"/>
      <c r="J48" s="52"/>
      <c r="K48" s="54">
        <f t="shared" si="4"/>
        <v>630.99744245524289</v>
      </c>
      <c r="L48" s="15">
        <v>6</v>
      </c>
      <c r="M48" s="15" t="s">
        <v>266</v>
      </c>
      <c r="N48" s="97"/>
      <c r="O48" s="97"/>
    </row>
    <row r="49" spans="1:18" x14ac:dyDescent="0.4">
      <c r="A49" s="209"/>
      <c r="B49" s="95" t="s">
        <v>382</v>
      </c>
      <c r="C49" s="15" t="s">
        <v>381</v>
      </c>
      <c r="D49" s="15">
        <v>2</v>
      </c>
      <c r="E49" s="15">
        <v>2.5</v>
      </c>
      <c r="F49" s="15">
        <f t="shared" ref="F49" si="8">E49*D49</f>
        <v>5</v>
      </c>
      <c r="G49" s="15">
        <v>0.8</v>
      </c>
      <c r="H49" s="16">
        <f t="shared" si="7"/>
        <v>4</v>
      </c>
      <c r="I49" s="49"/>
      <c r="J49" s="52"/>
      <c r="K49" s="54"/>
      <c r="L49" s="15"/>
      <c r="M49" s="15"/>
      <c r="N49" s="97"/>
      <c r="O49" s="97"/>
    </row>
    <row r="50" spans="1:18" x14ac:dyDescent="0.4">
      <c r="A50" s="17"/>
      <c r="B50" s="15"/>
      <c r="C50" s="15"/>
      <c r="D50" s="17"/>
      <c r="E50" s="15"/>
      <c r="F50" s="15"/>
      <c r="G50" s="15"/>
      <c r="H50" s="16"/>
      <c r="I50" s="49"/>
      <c r="J50" s="52"/>
      <c r="K50" s="54"/>
      <c r="L50" s="15"/>
      <c r="M50" s="15"/>
      <c r="N50" s="97"/>
      <c r="O50" s="97"/>
    </row>
    <row r="51" spans="1:18" x14ac:dyDescent="0.4">
      <c r="A51" s="202" t="s">
        <v>72</v>
      </c>
      <c r="B51" s="95" t="s">
        <v>379</v>
      </c>
      <c r="C51" s="114" t="s">
        <v>380</v>
      </c>
      <c r="D51" s="15">
        <v>1</v>
      </c>
      <c r="E51" s="15">
        <v>1.2</v>
      </c>
      <c r="F51" s="15">
        <f t="shared" ref="F51:F53" si="9">E51*D51</f>
        <v>1.2</v>
      </c>
      <c r="G51" s="15">
        <v>0.8</v>
      </c>
      <c r="H51" s="16">
        <f>F51*G51</f>
        <v>0.96</v>
      </c>
      <c r="I51" s="49">
        <f t="shared" si="2"/>
        <v>4.9104859335038356</v>
      </c>
      <c r="J51" s="52"/>
      <c r="K51" s="54"/>
      <c r="L51" s="153">
        <v>6</v>
      </c>
      <c r="M51" s="153" t="s">
        <v>266</v>
      </c>
      <c r="N51" s="97"/>
      <c r="O51" s="97"/>
    </row>
    <row r="52" spans="1:18" ht="27.75" x14ac:dyDescent="0.4">
      <c r="A52" s="202"/>
      <c r="B52" s="95" t="s">
        <v>383</v>
      </c>
      <c r="C52" s="102" t="s">
        <v>268</v>
      </c>
      <c r="D52" s="15">
        <v>5</v>
      </c>
      <c r="E52" s="15">
        <v>42</v>
      </c>
      <c r="F52" s="15">
        <f t="shared" si="9"/>
        <v>210</v>
      </c>
      <c r="G52" s="15">
        <v>0.8</v>
      </c>
      <c r="H52" s="16">
        <f>F52*G52</f>
        <v>168</v>
      </c>
      <c r="I52" s="49">
        <f t="shared" si="2"/>
        <v>859.33503836317141</v>
      </c>
      <c r="J52" s="52"/>
      <c r="K52" s="54"/>
      <c r="L52" s="153"/>
      <c r="M52" s="153"/>
      <c r="N52" s="97"/>
      <c r="O52" s="97"/>
    </row>
    <row r="53" spans="1:18" ht="27.75" x14ac:dyDescent="0.4">
      <c r="A53" s="165"/>
      <c r="B53" s="95" t="s">
        <v>384</v>
      </c>
      <c r="C53" s="102" t="s">
        <v>268</v>
      </c>
      <c r="D53" s="15">
        <v>4</v>
      </c>
      <c r="E53" s="15">
        <v>42</v>
      </c>
      <c r="F53" s="15">
        <f t="shared" si="9"/>
        <v>168</v>
      </c>
      <c r="G53" s="15">
        <v>0.8</v>
      </c>
      <c r="H53" s="16">
        <f t="shared" ref="H53" si="10">F53*G53</f>
        <v>134.4</v>
      </c>
      <c r="I53" s="49">
        <f t="shared" si="2"/>
        <v>687.46803069053703</v>
      </c>
      <c r="J53" s="52"/>
      <c r="K53" s="54"/>
      <c r="L53" s="154"/>
      <c r="M53" s="154"/>
      <c r="N53" s="97"/>
      <c r="O53" s="97"/>
    </row>
    <row r="54" spans="1:18" ht="27.75" x14ac:dyDescent="0.4">
      <c r="A54" s="15"/>
      <c r="B54" s="95"/>
      <c r="C54" s="102"/>
      <c r="D54" s="15"/>
      <c r="E54" s="15"/>
      <c r="F54" s="15"/>
      <c r="G54" s="15"/>
      <c r="H54" s="16"/>
      <c r="I54" s="49"/>
      <c r="J54" s="52"/>
      <c r="K54" s="54"/>
      <c r="L54" s="15"/>
      <c r="M54" s="15"/>
      <c r="N54" s="97"/>
      <c r="O54" s="97"/>
    </row>
    <row r="55" spans="1:18" x14ac:dyDescent="0.35">
      <c r="A55" s="204" t="s">
        <v>108</v>
      </c>
      <c r="B55" s="205"/>
      <c r="C55" s="206"/>
      <c r="D55" s="27">
        <f>SUM(D5:D53)</f>
        <v>149</v>
      </c>
      <c r="E55" s="109">
        <f>SUM(E5:E53)</f>
        <v>1533.7000000000003</v>
      </c>
      <c r="F55" s="109">
        <f>SUM(F5:F53)</f>
        <v>6813.2</v>
      </c>
      <c r="G55" s="109"/>
      <c r="H55" s="109">
        <f>SUM(H5:H53)</f>
        <v>5450.56</v>
      </c>
      <c r="I55" s="28">
        <f>SUM(I5:I53)</f>
        <v>9153.9641943734023</v>
      </c>
      <c r="J55" s="29">
        <f>SUM(J5:J50)</f>
        <v>9432.2250639386184</v>
      </c>
      <c r="K55" s="96">
        <f>SUM(K5:K50)</f>
        <v>9273.4526854219948</v>
      </c>
      <c r="L55" s="15"/>
      <c r="M55" s="15"/>
      <c r="R55" s="97"/>
    </row>
    <row r="56" spans="1:18" x14ac:dyDescent="0.4">
      <c r="A56" s="71"/>
      <c r="B56" s="71"/>
      <c r="F56" s="71"/>
      <c r="G56" s="71"/>
      <c r="H56" s="71"/>
      <c r="I56" s="71"/>
      <c r="J56" s="71"/>
      <c r="K56" s="71"/>
      <c r="L56" s="71"/>
      <c r="Q56" s="100"/>
    </row>
    <row r="57" spans="1:18" x14ac:dyDescent="0.4">
      <c r="A57" s="71"/>
      <c r="B57" s="75"/>
      <c r="C57" s="75"/>
      <c r="F57" s="71"/>
      <c r="G57" s="71"/>
      <c r="H57" s="71"/>
      <c r="I57" s="75"/>
      <c r="J57" s="75"/>
      <c r="K57" s="75"/>
      <c r="L57" s="75"/>
      <c r="M57" s="75"/>
    </row>
    <row r="58" spans="1:18" x14ac:dyDescent="0.4">
      <c r="A58" s="71"/>
      <c r="B58" s="71"/>
      <c r="F58" s="71"/>
      <c r="G58" s="71"/>
      <c r="H58" s="71"/>
      <c r="I58" s="71"/>
      <c r="J58" s="71"/>
      <c r="K58" s="71"/>
      <c r="L58" s="71"/>
      <c r="M58" s="71"/>
    </row>
    <row r="59" spans="1:18" x14ac:dyDescent="0.4">
      <c r="A59" s="71"/>
      <c r="B59" s="71"/>
      <c r="F59" s="71"/>
      <c r="G59" s="71"/>
      <c r="H59" s="71"/>
      <c r="I59" s="71"/>
      <c r="J59" s="71"/>
      <c r="K59" s="71"/>
      <c r="L59" s="71"/>
      <c r="M59" s="71"/>
    </row>
    <row r="60" spans="1:18" x14ac:dyDescent="0.4">
      <c r="A60" s="71"/>
      <c r="B60" s="71"/>
      <c r="F60" s="71"/>
      <c r="G60" s="71"/>
      <c r="H60" s="71"/>
      <c r="I60" s="71"/>
      <c r="J60" s="71"/>
      <c r="K60" s="71"/>
      <c r="L60" s="71"/>
      <c r="M60" s="71"/>
    </row>
    <row r="61" spans="1:18" x14ac:dyDescent="0.4">
      <c r="A61" s="71"/>
    </row>
    <row r="62" spans="1:18" x14ac:dyDescent="0.4">
      <c r="B62" s="97"/>
      <c r="C62" s="75"/>
      <c r="L62" s="97"/>
      <c r="M62" s="97"/>
    </row>
    <row r="63" spans="1:18" x14ac:dyDescent="0.4">
      <c r="B63" s="97"/>
      <c r="C63" s="75"/>
      <c r="L63" s="97"/>
      <c r="M63" s="97"/>
    </row>
  </sheetData>
  <mergeCells count="24">
    <mergeCell ref="L51:L53"/>
    <mergeCell ref="M51:M53"/>
    <mergeCell ref="A22:A23"/>
    <mergeCell ref="L22:L23"/>
    <mergeCell ref="A25:A27"/>
    <mergeCell ref="L25:L27"/>
    <mergeCell ref="A37:A38"/>
    <mergeCell ref="L37:L38"/>
    <mergeCell ref="A5:A7"/>
    <mergeCell ref="L5:L7"/>
    <mergeCell ref="A55:C55"/>
    <mergeCell ref="A1:M1"/>
    <mergeCell ref="A2:M2"/>
    <mergeCell ref="A3:A4"/>
    <mergeCell ref="B3:C3"/>
    <mergeCell ref="D3:D4"/>
    <mergeCell ref="A9:A10"/>
    <mergeCell ref="L9:L10"/>
    <mergeCell ref="A12:A13"/>
    <mergeCell ref="L12:L13"/>
    <mergeCell ref="A15:A16"/>
    <mergeCell ref="L15:L16"/>
    <mergeCell ref="A48:A49"/>
    <mergeCell ref="A51:A53"/>
  </mergeCells>
  <pageMargins left="0.7" right="0.7" top="0.75" bottom="0.75" header="0.3" footer="0.3"/>
  <pageSetup paperSize="14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4FDA-4AF6-4FBE-A587-AD4B9ADE34D4}">
  <dimension ref="A1:H21"/>
  <sheetViews>
    <sheetView zoomScale="55" zoomScaleNormal="55" workbookViewId="0">
      <selection activeCell="E4" sqref="E4"/>
    </sheetView>
  </sheetViews>
  <sheetFormatPr defaultRowHeight="15.75" x14ac:dyDescent="0.25"/>
  <cols>
    <col min="1" max="1" width="30.625" style="44" bestFit="1" customWidth="1"/>
    <col min="2" max="2" width="17.25" style="44" bestFit="1" customWidth="1"/>
    <col min="3" max="3" width="19.625" style="44" bestFit="1" customWidth="1"/>
    <col min="4" max="4" width="15.25" style="44" bestFit="1" customWidth="1"/>
    <col min="5" max="5" width="23.25" style="44" bestFit="1" customWidth="1"/>
    <col min="6" max="6" width="29.375" style="44" bestFit="1" customWidth="1"/>
    <col min="7" max="7" width="12.5" style="44" bestFit="1" customWidth="1"/>
    <col min="8" max="8" width="42.5" style="44" bestFit="1" customWidth="1"/>
    <col min="9" max="16384" width="9" style="44"/>
  </cols>
  <sheetData>
    <row r="1" spans="1:8" ht="25.5" x14ac:dyDescent="0.35">
      <c r="A1" s="210" t="s">
        <v>187</v>
      </c>
      <c r="B1" s="210"/>
      <c r="C1" s="210"/>
      <c r="D1" s="210"/>
      <c r="E1" s="210"/>
      <c r="F1" s="210"/>
      <c r="G1" s="210"/>
      <c r="H1" s="210"/>
    </row>
    <row r="2" spans="1:8" ht="25.5" x14ac:dyDescent="0.35">
      <c r="A2" s="151" t="s">
        <v>343</v>
      </c>
      <c r="B2" s="151"/>
      <c r="C2" s="151"/>
      <c r="D2" s="151"/>
      <c r="E2" s="151"/>
      <c r="F2" s="151"/>
      <c r="G2" s="151"/>
      <c r="H2" s="151"/>
    </row>
    <row r="3" spans="1:8" ht="25.5" x14ac:dyDescent="0.35">
      <c r="A3" s="86" t="s">
        <v>192</v>
      </c>
      <c r="B3" s="86" t="s">
        <v>193</v>
      </c>
      <c r="C3" s="86" t="s">
        <v>194</v>
      </c>
      <c r="D3" s="86" t="s">
        <v>195</v>
      </c>
      <c r="E3" s="86" t="s">
        <v>196</v>
      </c>
      <c r="F3" s="86" t="s">
        <v>197</v>
      </c>
      <c r="G3" s="86" t="s">
        <v>198</v>
      </c>
      <c r="H3" s="86" t="s">
        <v>199</v>
      </c>
    </row>
    <row r="4" spans="1:8" ht="26.25" x14ac:dyDescent="0.4">
      <c r="A4" s="17" t="s">
        <v>345</v>
      </c>
      <c r="B4" s="17">
        <v>19.820400000000003</v>
      </c>
      <c r="C4" s="106">
        <v>60</v>
      </c>
      <c r="D4" s="19">
        <f>B4*10.764</f>
        <v>213.34678560000003</v>
      </c>
      <c r="E4" s="52">
        <f>(D4*C4)/9500</f>
        <v>1.3474533827368422</v>
      </c>
      <c r="F4" s="17" t="s">
        <v>201</v>
      </c>
      <c r="G4" s="107">
        <v>1</v>
      </c>
      <c r="H4" s="15" t="s">
        <v>139</v>
      </c>
    </row>
    <row r="5" spans="1:8" ht="26.25" x14ac:dyDescent="0.4">
      <c r="A5" s="17" t="s">
        <v>109</v>
      </c>
      <c r="B5" s="17">
        <v>19.820400000000003</v>
      </c>
      <c r="C5" s="106">
        <v>60</v>
      </c>
      <c r="D5" s="19">
        <f t="shared" ref="D5:D21" si="0">B5*10.764</f>
        <v>213.34678560000003</v>
      </c>
      <c r="E5" s="52">
        <f t="shared" ref="E5:E21" si="1">(D5*C5)/9500</f>
        <v>1.3474533827368422</v>
      </c>
      <c r="F5" s="17" t="s">
        <v>201</v>
      </c>
      <c r="G5" s="107">
        <v>1</v>
      </c>
      <c r="H5" s="15" t="s">
        <v>139</v>
      </c>
    </row>
    <row r="6" spans="1:8" ht="26.25" x14ac:dyDescent="0.4">
      <c r="A6" s="17" t="s">
        <v>269</v>
      </c>
      <c r="B6" s="17">
        <v>20.440000000000001</v>
      </c>
      <c r="C6" s="106">
        <v>60</v>
      </c>
      <c r="D6" s="19">
        <f t="shared" si="0"/>
        <v>220.01616000000001</v>
      </c>
      <c r="E6" s="52">
        <f t="shared" si="1"/>
        <v>1.3895757473684212</v>
      </c>
      <c r="F6" s="17" t="s">
        <v>357</v>
      </c>
      <c r="G6" s="107" t="s">
        <v>208</v>
      </c>
      <c r="H6" s="17" t="s">
        <v>304</v>
      </c>
    </row>
    <row r="7" spans="1:8" ht="26.25" x14ac:dyDescent="0.4">
      <c r="A7" s="17" t="s">
        <v>270</v>
      </c>
      <c r="B7" s="17">
        <v>12</v>
      </c>
      <c r="C7" s="106">
        <v>60</v>
      </c>
      <c r="D7" s="19">
        <f t="shared" si="0"/>
        <v>129.16800000000001</v>
      </c>
      <c r="E7" s="52">
        <f t="shared" si="1"/>
        <v>0.81579789473684206</v>
      </c>
      <c r="F7" s="17" t="s">
        <v>357</v>
      </c>
      <c r="G7" s="107" t="s">
        <v>208</v>
      </c>
      <c r="H7" s="17" t="s">
        <v>304</v>
      </c>
    </row>
    <row r="8" spans="1:8" ht="26.25" x14ac:dyDescent="0.4">
      <c r="A8" s="17" t="s">
        <v>271</v>
      </c>
      <c r="B8" s="17">
        <v>15.4</v>
      </c>
      <c r="C8" s="106">
        <v>70</v>
      </c>
      <c r="D8" s="19">
        <f t="shared" si="0"/>
        <v>165.76560000000001</v>
      </c>
      <c r="E8" s="52">
        <f t="shared" si="1"/>
        <v>1.2214307368421053</v>
      </c>
      <c r="F8" s="17" t="s">
        <v>358</v>
      </c>
      <c r="G8" s="107">
        <v>1</v>
      </c>
      <c r="H8" s="15" t="s">
        <v>139</v>
      </c>
    </row>
    <row r="9" spans="1:8" ht="26.25" x14ac:dyDescent="0.4">
      <c r="A9" s="17" t="s">
        <v>273</v>
      </c>
      <c r="B9" s="17">
        <v>23.92</v>
      </c>
      <c r="C9" s="106">
        <v>60</v>
      </c>
      <c r="D9" s="19">
        <f t="shared" si="0"/>
        <v>257.47487999999998</v>
      </c>
      <c r="E9" s="52">
        <f t="shared" si="1"/>
        <v>1.6261571368421053</v>
      </c>
      <c r="F9" s="17" t="s">
        <v>359</v>
      </c>
      <c r="G9" s="107">
        <v>1</v>
      </c>
      <c r="H9" s="15" t="s">
        <v>142</v>
      </c>
    </row>
    <row r="10" spans="1:8" ht="26.25" x14ac:dyDescent="0.4">
      <c r="A10" s="112" t="s">
        <v>274</v>
      </c>
      <c r="B10" s="17">
        <v>23.92</v>
      </c>
      <c r="C10" s="106">
        <v>70</v>
      </c>
      <c r="D10" s="19">
        <f t="shared" si="0"/>
        <v>257.47487999999998</v>
      </c>
      <c r="E10" s="52">
        <f t="shared" si="1"/>
        <v>1.8971833263157891</v>
      </c>
      <c r="F10" s="17" t="s">
        <v>359</v>
      </c>
      <c r="G10" s="107">
        <v>1</v>
      </c>
      <c r="H10" s="15" t="s">
        <v>142</v>
      </c>
    </row>
    <row r="11" spans="1:8" ht="26.25" x14ac:dyDescent="0.4">
      <c r="A11" s="17" t="s">
        <v>275</v>
      </c>
      <c r="B11" s="17">
        <v>13.08</v>
      </c>
      <c r="C11" s="106">
        <v>60</v>
      </c>
      <c r="D11" s="19">
        <f t="shared" si="0"/>
        <v>140.79311999999999</v>
      </c>
      <c r="E11" s="52">
        <f t="shared" si="1"/>
        <v>0.88921970526315786</v>
      </c>
      <c r="F11" s="17" t="s">
        <v>360</v>
      </c>
      <c r="G11" s="107">
        <v>1</v>
      </c>
      <c r="H11" s="15" t="s">
        <v>143</v>
      </c>
    </row>
    <row r="12" spans="1:8" ht="26.25" x14ac:dyDescent="0.4">
      <c r="A12" s="112" t="s">
        <v>275</v>
      </c>
      <c r="B12" s="17">
        <v>13.08</v>
      </c>
      <c r="C12" s="106">
        <v>60</v>
      </c>
      <c r="D12" s="19">
        <f t="shared" si="0"/>
        <v>140.79311999999999</v>
      </c>
      <c r="E12" s="52">
        <f t="shared" si="1"/>
        <v>0.88921970526315786</v>
      </c>
      <c r="F12" s="17" t="s">
        <v>212</v>
      </c>
      <c r="G12" s="107">
        <v>1</v>
      </c>
      <c r="H12" s="15" t="s">
        <v>143</v>
      </c>
    </row>
    <row r="13" spans="1:8" ht="26.25" x14ac:dyDescent="0.4">
      <c r="A13" s="17" t="s">
        <v>276</v>
      </c>
      <c r="B13" s="17">
        <v>30.26</v>
      </c>
      <c r="C13" s="106">
        <v>70</v>
      </c>
      <c r="D13" s="19">
        <f t="shared" si="0"/>
        <v>325.71863999999999</v>
      </c>
      <c r="E13" s="52">
        <f t="shared" si="1"/>
        <v>2.4000320842105261</v>
      </c>
      <c r="F13" s="17" t="s">
        <v>361</v>
      </c>
      <c r="G13" s="107">
        <v>2</v>
      </c>
      <c r="H13" s="15" t="s">
        <v>139</v>
      </c>
    </row>
    <row r="14" spans="1:8" ht="26.25" x14ac:dyDescent="0.4">
      <c r="A14" s="17" t="s">
        <v>277</v>
      </c>
      <c r="B14" s="17">
        <v>46.035000000000004</v>
      </c>
      <c r="C14" s="106">
        <v>60</v>
      </c>
      <c r="D14" s="19">
        <f t="shared" si="0"/>
        <v>495.52073999999999</v>
      </c>
      <c r="E14" s="52">
        <f t="shared" si="1"/>
        <v>3.1296046736842107</v>
      </c>
      <c r="F14" s="17" t="s">
        <v>310</v>
      </c>
      <c r="G14" s="107" t="s">
        <v>208</v>
      </c>
      <c r="H14" s="17" t="s">
        <v>304</v>
      </c>
    </row>
    <row r="15" spans="1:8" ht="26.25" x14ac:dyDescent="0.4">
      <c r="A15" s="17" t="s">
        <v>279</v>
      </c>
      <c r="B15" s="17">
        <v>22.274999999999999</v>
      </c>
      <c r="C15" s="106">
        <v>60</v>
      </c>
      <c r="D15" s="19">
        <f t="shared" si="0"/>
        <v>239.76809999999998</v>
      </c>
      <c r="E15" s="52">
        <f t="shared" si="1"/>
        <v>1.5143248421052631</v>
      </c>
      <c r="F15" s="17" t="s">
        <v>208</v>
      </c>
      <c r="G15" s="107" t="s">
        <v>208</v>
      </c>
      <c r="H15" s="17" t="s">
        <v>304</v>
      </c>
    </row>
    <row r="16" spans="1:8" ht="26.25" x14ac:dyDescent="0.4">
      <c r="A16" s="17" t="s">
        <v>280</v>
      </c>
      <c r="B16" s="17">
        <v>11.54</v>
      </c>
      <c r="C16" s="106">
        <v>60</v>
      </c>
      <c r="D16" s="19">
        <f t="shared" si="0"/>
        <v>124.21655999999999</v>
      </c>
      <c r="E16" s="52">
        <f t="shared" si="1"/>
        <v>0.78452564210526299</v>
      </c>
      <c r="F16" s="17" t="s">
        <v>357</v>
      </c>
      <c r="G16" s="107" t="s">
        <v>208</v>
      </c>
      <c r="H16" s="17" t="s">
        <v>304</v>
      </c>
    </row>
    <row r="17" spans="1:8" ht="26.25" x14ac:dyDescent="0.4">
      <c r="A17" s="17" t="s">
        <v>281</v>
      </c>
      <c r="B17" s="17">
        <v>12.828374999999998</v>
      </c>
      <c r="C17" s="106">
        <v>70</v>
      </c>
      <c r="D17" s="19">
        <f t="shared" si="0"/>
        <v>138.08462849999998</v>
      </c>
      <c r="E17" s="52">
        <f t="shared" si="1"/>
        <v>1.0174656836842104</v>
      </c>
      <c r="F17" s="101" t="s">
        <v>367</v>
      </c>
      <c r="G17" s="107">
        <v>1</v>
      </c>
      <c r="H17" s="15" t="s">
        <v>139</v>
      </c>
    </row>
    <row r="18" spans="1:8" ht="26.25" x14ac:dyDescent="0.4">
      <c r="A18" s="17" t="s">
        <v>362</v>
      </c>
      <c r="B18" s="17">
        <v>14.576624999999998</v>
      </c>
      <c r="C18" s="106">
        <v>70</v>
      </c>
      <c r="D18" s="19">
        <f t="shared" si="0"/>
        <v>156.90279149999998</v>
      </c>
      <c r="E18" s="52">
        <f t="shared" si="1"/>
        <v>1.156125832105263</v>
      </c>
      <c r="F18" s="21" t="s">
        <v>367</v>
      </c>
      <c r="G18" s="107">
        <v>1</v>
      </c>
      <c r="H18" s="15" t="s">
        <v>139</v>
      </c>
    </row>
    <row r="19" spans="1:8" ht="26.25" x14ac:dyDescent="0.4">
      <c r="A19" s="17" t="s">
        <v>363</v>
      </c>
      <c r="B19" s="17">
        <v>13.92</v>
      </c>
      <c r="C19" s="106">
        <v>70</v>
      </c>
      <c r="D19" s="19">
        <f t="shared" si="0"/>
        <v>149.83488</v>
      </c>
      <c r="E19" s="52">
        <f t="shared" si="1"/>
        <v>1.1040464842105264</v>
      </c>
      <c r="F19" s="21" t="s">
        <v>367</v>
      </c>
      <c r="G19" s="107">
        <v>2</v>
      </c>
      <c r="H19" s="15" t="s">
        <v>139</v>
      </c>
    </row>
    <row r="20" spans="1:8" ht="26.25" x14ac:dyDescent="0.4">
      <c r="A20" s="17" t="s">
        <v>364</v>
      </c>
      <c r="B20" s="17">
        <v>13.92</v>
      </c>
      <c r="C20" s="106">
        <v>70</v>
      </c>
      <c r="D20" s="19">
        <f t="shared" si="0"/>
        <v>149.83488</v>
      </c>
      <c r="E20" s="52">
        <f t="shared" si="1"/>
        <v>1.1040464842105264</v>
      </c>
      <c r="F20" s="21" t="s">
        <v>367</v>
      </c>
      <c r="G20" s="107">
        <v>1</v>
      </c>
      <c r="H20" s="15" t="s">
        <v>139</v>
      </c>
    </row>
    <row r="21" spans="1:8" ht="26.25" x14ac:dyDescent="0.4">
      <c r="A21" s="17" t="s">
        <v>365</v>
      </c>
      <c r="B21" s="17">
        <v>75.460800000000006</v>
      </c>
      <c r="C21" s="106">
        <v>70</v>
      </c>
      <c r="D21" s="19">
        <f t="shared" si="0"/>
        <v>812.26005120000002</v>
      </c>
      <c r="E21" s="52">
        <f t="shared" si="1"/>
        <v>5.9850740614736848</v>
      </c>
      <c r="F21" s="17" t="s">
        <v>366</v>
      </c>
      <c r="G21" s="107">
        <v>4</v>
      </c>
      <c r="H21" s="15" t="s">
        <v>139</v>
      </c>
    </row>
  </sheetData>
  <mergeCells count="2">
    <mergeCell ref="A1:H1"/>
    <mergeCell ref="A2:H2"/>
  </mergeCells>
  <pageMargins left="0.7" right="0.7" top="0.75" bottom="0.75" header="0.3" footer="0.3"/>
  <pageSetup paperSize="14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B314-2136-49D0-8BDB-2213C787ACE4}">
  <dimension ref="B1:D25"/>
  <sheetViews>
    <sheetView tabSelected="1" zoomScale="55" zoomScaleNormal="55" workbookViewId="0">
      <selection activeCell="D7" sqref="D7"/>
    </sheetView>
  </sheetViews>
  <sheetFormatPr defaultRowHeight="15.75" x14ac:dyDescent="0.25"/>
  <cols>
    <col min="2" max="2" width="46" bestFit="1" customWidth="1"/>
    <col min="3" max="3" width="15.5" bestFit="1" customWidth="1"/>
    <col min="4" max="4" width="17.25" bestFit="1" customWidth="1"/>
  </cols>
  <sheetData>
    <row r="1" spans="2:4" ht="25.5" x14ac:dyDescent="0.35">
      <c r="B1" s="210" t="s">
        <v>385</v>
      </c>
      <c r="C1" s="210"/>
      <c r="D1" s="210"/>
    </row>
    <row r="3" spans="2:4" ht="26.25" x14ac:dyDescent="0.4">
      <c r="B3" s="115" t="s">
        <v>375</v>
      </c>
      <c r="C3" s="116" t="s">
        <v>368</v>
      </c>
      <c r="D3" s="116" t="s">
        <v>369</v>
      </c>
    </row>
    <row r="4" spans="2:4" ht="25.5" x14ac:dyDescent="0.35">
      <c r="B4" s="117" t="s">
        <v>370</v>
      </c>
      <c r="C4" s="117">
        <v>9255.5</v>
      </c>
      <c r="D4" s="117">
        <v>7404.4</v>
      </c>
    </row>
    <row r="5" spans="2:4" ht="25.5" x14ac:dyDescent="0.35">
      <c r="B5" s="117" t="s">
        <v>371</v>
      </c>
      <c r="C5" s="117">
        <v>26088</v>
      </c>
      <c r="D5" s="117">
        <v>26088</v>
      </c>
    </row>
    <row r="6" spans="2:4" ht="25.5" x14ac:dyDescent="0.35">
      <c r="B6" s="117" t="s">
        <v>372</v>
      </c>
      <c r="C6" s="117">
        <v>24000</v>
      </c>
      <c r="D6" s="117">
        <v>9600</v>
      </c>
    </row>
    <row r="7" spans="2:4" ht="25.5" x14ac:dyDescent="0.35">
      <c r="B7" s="117" t="s">
        <v>373</v>
      </c>
      <c r="C7" s="117">
        <f>SUM(C4:C6)</f>
        <v>59343.5</v>
      </c>
      <c r="D7" s="117">
        <f>SUM(D4:D6)</f>
        <v>43092.4</v>
      </c>
    </row>
    <row r="8" spans="2:4" x14ac:dyDescent="0.25">
      <c r="B8" s="84"/>
      <c r="C8" s="84"/>
      <c r="D8" s="84"/>
    </row>
    <row r="9" spans="2:4" x14ac:dyDescent="0.25">
      <c r="B9" s="84"/>
      <c r="C9" s="84"/>
      <c r="D9" s="84"/>
    </row>
    <row r="10" spans="2:4" ht="26.25" x14ac:dyDescent="0.4">
      <c r="B10" s="115" t="s">
        <v>376</v>
      </c>
      <c r="C10" s="116" t="s">
        <v>368</v>
      </c>
      <c r="D10" s="116" t="s">
        <v>369</v>
      </c>
    </row>
    <row r="11" spans="2:4" ht="25.5" x14ac:dyDescent="0.35">
      <c r="B11" s="117" t="s">
        <v>370</v>
      </c>
      <c r="C11" s="117">
        <v>6326.2</v>
      </c>
      <c r="D11" s="117">
        <v>5060.96</v>
      </c>
    </row>
    <row r="12" spans="2:4" ht="25.5" x14ac:dyDescent="0.35">
      <c r="B12" s="117" t="s">
        <v>371</v>
      </c>
      <c r="C12" s="117">
        <v>26088</v>
      </c>
      <c r="D12" s="117">
        <v>26088</v>
      </c>
    </row>
    <row r="13" spans="2:4" ht="25.5" x14ac:dyDescent="0.35">
      <c r="B13" s="117" t="s">
        <v>372</v>
      </c>
      <c r="C13" s="117">
        <v>21000</v>
      </c>
      <c r="D13" s="117">
        <v>8400</v>
      </c>
    </row>
    <row r="14" spans="2:4" ht="25.5" x14ac:dyDescent="0.35">
      <c r="B14" s="117" t="s">
        <v>373</v>
      </c>
      <c r="C14" s="117">
        <f>SUM(C11:C13)</f>
        <v>53414.2</v>
      </c>
      <c r="D14" s="117">
        <f>SUM(D11:D13)</f>
        <v>39548.959999999999</v>
      </c>
    </row>
    <row r="15" spans="2:4" x14ac:dyDescent="0.25">
      <c r="B15" s="84"/>
      <c r="C15" s="84"/>
      <c r="D15" s="84"/>
    </row>
    <row r="16" spans="2:4" x14ac:dyDescent="0.25">
      <c r="B16" s="84"/>
      <c r="C16" s="84"/>
      <c r="D16" s="84"/>
    </row>
    <row r="17" spans="2:4" ht="26.25" x14ac:dyDescent="0.4">
      <c r="B17" s="115" t="s">
        <v>377</v>
      </c>
      <c r="C17" s="116" t="s">
        <v>368</v>
      </c>
      <c r="D17" s="116" t="s">
        <v>369</v>
      </c>
    </row>
    <row r="18" spans="2:4" ht="25.5" x14ac:dyDescent="0.35">
      <c r="B18" s="117" t="s">
        <v>370</v>
      </c>
      <c r="C18" s="117">
        <v>6813.2</v>
      </c>
      <c r="D18" s="117">
        <v>5450.56</v>
      </c>
    </row>
    <row r="19" spans="2:4" ht="25.5" x14ac:dyDescent="0.35">
      <c r="B19" s="117" t="s">
        <v>372</v>
      </c>
      <c r="C19" s="117">
        <v>30750</v>
      </c>
      <c r="D19" s="117">
        <v>12300</v>
      </c>
    </row>
    <row r="20" spans="2:4" ht="25.5" x14ac:dyDescent="0.35">
      <c r="B20" s="117" t="s">
        <v>371</v>
      </c>
      <c r="C20" s="117">
        <v>19380</v>
      </c>
      <c r="D20" s="117">
        <v>19380</v>
      </c>
    </row>
    <row r="21" spans="2:4" ht="25.5" x14ac:dyDescent="0.35">
      <c r="B21" s="117" t="s">
        <v>373</v>
      </c>
      <c r="C21" s="117">
        <f>SUM(C18:C20)</f>
        <v>56943.199999999997</v>
      </c>
      <c r="D21" s="117">
        <f>SUM(D18:D20)</f>
        <v>37130.559999999998</v>
      </c>
    </row>
    <row r="22" spans="2:4" x14ac:dyDescent="0.25">
      <c r="B22" s="84"/>
      <c r="C22" s="84"/>
      <c r="D22" s="84"/>
    </row>
    <row r="23" spans="2:4" x14ac:dyDescent="0.25">
      <c r="B23" s="84"/>
      <c r="C23" s="84"/>
      <c r="D23" s="84"/>
    </row>
    <row r="24" spans="2:4" ht="26.25" x14ac:dyDescent="0.4">
      <c r="B24" s="118" t="s">
        <v>374</v>
      </c>
      <c r="C24" s="116" t="s">
        <v>368</v>
      </c>
      <c r="D24" s="116" t="s">
        <v>369</v>
      </c>
    </row>
    <row r="25" spans="2:4" ht="25.5" x14ac:dyDescent="0.35">
      <c r="B25" s="117" t="s">
        <v>385</v>
      </c>
      <c r="C25" s="117">
        <f>C14+C21+C7</f>
        <v>169700.9</v>
      </c>
      <c r="D25" s="117">
        <f>D14+D21+D7</f>
        <v>119771.91999999998</v>
      </c>
    </row>
  </sheetData>
  <mergeCells count="1">
    <mergeCell ref="B1:D1"/>
  </mergeCells>
  <pageMargins left="0.7" right="0.7" top="0.75" bottom="0.75" header="0.3" footer="0.3"/>
  <pageSetup paperSiz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JWPN TCL LAMPU</vt:lpstr>
      <vt:lpstr>JWPN TCL SOKET</vt:lpstr>
      <vt:lpstr>TCL SOKET KOSONG-GROUND FLOOR</vt:lpstr>
      <vt:lpstr>AC-GROUND FLOOR</vt:lpstr>
      <vt:lpstr> GROUND FLOOR-TCL LAMPU KOSON </vt:lpstr>
      <vt:lpstr>AC CALCULATION - GROUND FLOOR</vt:lpstr>
      <vt:lpstr>1ST FLOOR - TCL SOKET KOSON</vt:lpstr>
      <vt:lpstr>1ST FLOOR -AC</vt:lpstr>
      <vt:lpstr>1ST FLOOR - TCL LAMPU KOSON </vt:lpstr>
      <vt:lpstr>1ST FLOOR - AC CALCULATION</vt:lpstr>
      <vt:lpstr>2ND FLOOR-TCL SOKET KOSON</vt:lpstr>
      <vt:lpstr>2ND FLOOR-AC</vt:lpstr>
      <vt:lpstr>2ND FLOOR - TCL LAMPU KOSON  </vt:lpstr>
      <vt:lpstr>2ND FLOOR - AC CALCULATION</vt:lpstr>
      <vt:lpstr>SSB &amp; MSB GREEN BUILDING</vt:lpstr>
    </vt:vector>
  </TitlesOfParts>
  <Company>UniMAP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Zaidi Abdullah</dc:creator>
  <cp:lastModifiedBy>ADEL HUSHAM MOHAMEDAIN YOUSUF</cp:lastModifiedBy>
  <cp:lastPrinted>2026-05-12T12:48:04Z</cp:lastPrinted>
  <dcterms:created xsi:type="dcterms:W3CDTF">2015-05-22T09:45:23Z</dcterms:created>
  <dcterms:modified xsi:type="dcterms:W3CDTF">2026-05-20T22:08:42Z</dcterms:modified>
</cp:coreProperties>
</file>